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3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4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5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drawings/drawing6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7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nH\Dropbox\"/>
    </mc:Choice>
  </mc:AlternateContent>
  <xr:revisionPtr revIDLastSave="0" documentId="13_ncr:1_{D87ED122-B2EE-4552-9216-94398F52F985}" xr6:coauthVersionLast="43" xr6:coauthVersionMax="43" xr10:uidLastSave="{00000000-0000-0000-0000-000000000000}"/>
  <bookViews>
    <workbookView xWindow="-120" yWindow="-120" windowWidth="18240" windowHeight="29040" activeTab="6" xr2:uid="{840A4293-CCDF-4DEC-B367-6997DF51B8E2}"/>
  </bookViews>
  <sheets>
    <sheet name="Time" sheetId="10" r:id="rId1"/>
    <sheet name="Calendar" sheetId="8" r:id="rId2"/>
    <sheet name="Complete" sheetId="12" state="hidden" r:id="rId3"/>
    <sheet name="Archive" sheetId="13" state="hidden" r:id="rId4"/>
    <sheet name="Narratives" sheetId="11" state="hidden" r:id="rId5"/>
    <sheet name="VARS" sheetId="5" state="hidden" r:id="rId6"/>
    <sheet name="Payroll" sheetId="3" r:id="rId7"/>
    <sheet name="Shapes" sheetId="15" state="hidden" r:id="rId8"/>
  </sheets>
  <functionGroups builtInGroupCount="19"/>
  <definedNames>
    <definedName name="_xlnm._FilterDatabase" localSheetId="3" hidden="1">Archive!$A$2:$F$73</definedName>
    <definedName name="_xlnm._FilterDatabase" localSheetId="2" hidden="1">Complete!$A$1:$F$1</definedName>
    <definedName name="_xlnm._FilterDatabase" localSheetId="6" hidden="1">Payroll!#REF!</definedName>
    <definedName name="_xlnm._FilterDatabase" localSheetId="0" hidden="1">Time!$A$2:$F$18</definedName>
    <definedName name="AGENDA" localSheetId="3">Time!$A$20:$A$26</definedName>
    <definedName name="AGENDA" localSheetId="2">Time!$A$20:$A$26</definedName>
    <definedName name="AGENDA" localSheetId="0">Time!$A$20:$A$26</definedName>
    <definedName name="BlueList" localSheetId="1">Calendar!$J$1794:$J$1796</definedName>
    <definedName name="FormatPainter.Flag" hidden="1">TRUE</definedName>
    <definedName name="GreenList" localSheetId="1">Calendar!$J$1777:$J$1787</definedName>
    <definedName name="Matters">VARS!$B$3:$B$24</definedName>
    <definedName name="Narratives">Narratives!$C$2:$C$22</definedName>
    <definedName name="_xlnm.Print_Area" localSheetId="3">Archive!$A$2:$F$73</definedName>
    <definedName name="RedList" localSheetId="1">Calendar!$J$1790:$J$1791</definedName>
    <definedName name="RedWhiteList">Calendar!$L$1777:$L$1778</definedName>
    <definedName name="TYPE">VARS!$C$3:$C$7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02" i="3" l="1"/>
  <c r="D101" i="3"/>
  <c r="D100" i="3"/>
  <c r="D99" i="3"/>
  <c r="D98" i="3"/>
  <c r="D97" i="3"/>
  <c r="D96" i="3"/>
  <c r="D95" i="3"/>
  <c r="D94" i="3"/>
  <c r="D93" i="3"/>
  <c r="D92" i="3"/>
  <c r="D86" i="3"/>
  <c r="D82" i="3"/>
  <c r="D81" i="3"/>
  <c r="D80" i="3"/>
  <c r="D79" i="3"/>
  <c r="D78" i="3"/>
  <c r="D77" i="3"/>
  <c r="D73" i="3"/>
  <c r="D72" i="3"/>
  <c r="D71" i="3"/>
  <c r="D65" i="3"/>
  <c r="D64" i="3"/>
  <c r="D63" i="3"/>
  <c r="D62" i="3"/>
  <c r="D61" i="3"/>
  <c r="D60" i="3"/>
  <c r="D59" i="3"/>
  <c r="D58" i="3"/>
  <c r="D57" i="3"/>
  <c r="D56" i="3"/>
  <c r="D52" i="3"/>
  <c r="D51" i="3"/>
  <c r="D50" i="3"/>
  <c r="D49" i="3"/>
  <c r="D46" i="3"/>
  <c r="D45" i="3"/>
  <c r="D44" i="3"/>
  <c r="D43" i="3"/>
  <c r="D42" i="3"/>
  <c r="D38" i="3"/>
  <c r="D37" i="3"/>
  <c r="D34" i="3"/>
  <c r="D33" i="3"/>
  <c r="D32" i="3"/>
  <c r="D30" i="3"/>
  <c r="D23" i="3"/>
  <c r="D20" i="3"/>
  <c r="D19" i="3"/>
  <c r="D18" i="3"/>
  <c r="D17" i="3"/>
  <c r="D16" i="3"/>
  <c r="D15" i="3"/>
  <c r="D14" i="3"/>
  <c r="D13" i="3"/>
  <c r="D12" i="3"/>
  <c r="D11" i="3"/>
  <c r="D10" i="3"/>
  <c r="D8" i="3"/>
  <c r="D74" i="3"/>
  <c r="D66" i="3"/>
  <c r="E3" i="13"/>
  <c r="A3" i="13"/>
  <c r="D39" i="3" l="1"/>
  <c r="D67" i="3"/>
  <c r="D53" i="3"/>
  <c r="C80" i="8"/>
  <c r="E3" i="12" l="1"/>
  <c r="E5" i="12"/>
  <c r="E6" i="12"/>
  <c r="E7" i="12"/>
  <c r="E8" i="12" l="1"/>
  <c r="E9" i="12"/>
  <c r="E10" i="12"/>
  <c r="E3" i="10"/>
  <c r="A3" i="10"/>
  <c r="E4" i="10"/>
  <c r="A4" i="10"/>
  <c r="E5" i="10"/>
  <c r="A5" i="10"/>
  <c r="E6" i="10"/>
  <c r="A6" i="10"/>
  <c r="E7" i="10"/>
  <c r="A7" i="10"/>
  <c r="E11" i="12"/>
  <c r="E12" i="12"/>
  <c r="E13" i="12"/>
  <c r="E8" i="10" l="1"/>
  <c r="A8" i="10"/>
  <c r="E9" i="10"/>
  <c r="A9" i="10"/>
  <c r="E10" i="10"/>
  <c r="A10" i="10"/>
  <c r="E11" i="10"/>
  <c r="A11" i="10"/>
  <c r="E12" i="10"/>
  <c r="A12" i="10"/>
  <c r="E13" i="10"/>
  <c r="A13" i="10"/>
  <c r="E14" i="12" l="1"/>
  <c r="C10" i="3" l="1"/>
  <c r="E15" i="12" l="1"/>
  <c r="E16" i="12"/>
  <c r="E17" i="12"/>
  <c r="E18" i="12"/>
  <c r="E19" i="12"/>
  <c r="E20" i="12"/>
  <c r="E21" i="12"/>
  <c r="E22" i="12"/>
  <c r="E23" i="12" l="1"/>
  <c r="C6" i="3" l="1"/>
  <c r="D6" i="3" s="1"/>
  <c r="C21" i="3"/>
  <c r="D21" i="3" s="1"/>
  <c r="E24" i="12"/>
  <c r="E25" i="12"/>
  <c r="E26" i="12"/>
  <c r="C22" i="3" l="1"/>
  <c r="D22" i="3" s="1"/>
  <c r="D24" i="3" s="1"/>
  <c r="E27" i="12" l="1"/>
  <c r="C14" i="3" l="1"/>
  <c r="C15" i="3"/>
  <c r="C20" i="3" l="1"/>
  <c r="E28" i="12" l="1"/>
  <c r="E14" i="10"/>
  <c r="A14" i="10"/>
  <c r="E15" i="10"/>
  <c r="A15" i="10"/>
  <c r="E16" i="10"/>
  <c r="A16" i="10"/>
  <c r="E29" i="12" l="1"/>
  <c r="C7" i="3"/>
  <c r="D7" i="3" s="1"/>
  <c r="E30" i="12" l="1"/>
  <c r="E31" i="12"/>
  <c r="E17" i="10"/>
  <c r="A17" i="10"/>
  <c r="E32" i="12"/>
  <c r="C16" i="3" l="1"/>
  <c r="C18" i="3"/>
  <c r="C13" i="3"/>
  <c r="E33" i="12" l="1"/>
  <c r="E34" i="12"/>
  <c r="E35" i="12"/>
  <c r="E36" i="12"/>
  <c r="E37" i="12"/>
  <c r="E38" i="12"/>
  <c r="E39" i="12"/>
  <c r="E52" i="12" l="1"/>
  <c r="E50" i="12"/>
  <c r="E40" i="12" l="1"/>
  <c r="E43" i="12" l="1"/>
  <c r="E41" i="12"/>
  <c r="E42" i="12"/>
  <c r="E44" i="12"/>
  <c r="E45" i="12"/>
  <c r="E46" i="12"/>
  <c r="E47" i="12"/>
  <c r="E48" i="12"/>
  <c r="E53" i="12" l="1"/>
  <c r="E54" i="12"/>
  <c r="E55" i="12"/>
  <c r="E56" i="12"/>
  <c r="E57" i="12"/>
  <c r="E58" i="12"/>
  <c r="E59" i="12"/>
  <c r="E60" i="12" l="1"/>
  <c r="E61" i="12" l="1"/>
  <c r="E62" i="12"/>
  <c r="E63" i="12"/>
  <c r="E64" i="12"/>
  <c r="E65" i="12"/>
  <c r="E66" i="12" l="1"/>
  <c r="E67" i="12"/>
  <c r="E68" i="12"/>
  <c r="E69" i="12"/>
  <c r="E70" i="12"/>
  <c r="E71" i="12"/>
  <c r="E72" i="12"/>
  <c r="E73" i="12"/>
  <c r="E74" i="12"/>
  <c r="E75" i="12"/>
  <c r="E76" i="12" l="1"/>
  <c r="E77" i="12" l="1"/>
  <c r="E78" i="12"/>
  <c r="E79" i="12"/>
  <c r="E80" i="12"/>
  <c r="E18" i="10"/>
  <c r="A18" i="10"/>
  <c r="E24" i="13" l="1"/>
  <c r="E32" i="13"/>
  <c r="E33" i="13"/>
  <c r="E38" i="13"/>
  <c r="E39" i="13"/>
  <c r="E43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2" i="13"/>
  <c r="E63" i="13"/>
  <c r="E64" i="13"/>
  <c r="E71" i="13"/>
  <c r="E72" i="13"/>
  <c r="E73" i="13"/>
  <c r="E3" i="8" l="1"/>
  <c r="G3" i="8" s="1"/>
  <c r="I3" i="8" s="1"/>
  <c r="K3" i="8" s="1"/>
  <c r="C10" i="8" s="1"/>
  <c r="E10" i="8" s="1"/>
  <c r="G10" i="8" s="1"/>
  <c r="I10" i="8" s="1"/>
  <c r="K10" i="8" s="1"/>
  <c r="C17" i="8" s="1"/>
  <c r="E17" i="8" s="1"/>
  <c r="G17" i="8" s="1"/>
  <c r="I17" i="8" s="1"/>
  <c r="K17" i="8" s="1"/>
  <c r="C24" i="8" s="1"/>
  <c r="E24" i="8" s="1"/>
  <c r="G24" i="8" s="1"/>
  <c r="I24" i="8" s="1"/>
  <c r="K24" i="8" s="1"/>
  <c r="C31" i="8" s="1"/>
  <c r="E31" i="8" s="1"/>
  <c r="G31" i="8" s="1"/>
  <c r="I31" i="8" s="1"/>
  <c r="K31" i="8" s="1"/>
  <c r="C38" i="8" s="1"/>
  <c r="E38" i="8" s="1"/>
  <c r="G38" i="8" s="1"/>
  <c r="I38" i="8" s="1"/>
  <c r="K38" i="8" s="1"/>
  <c r="C45" i="8" s="1"/>
  <c r="E45" i="8" s="1"/>
  <c r="G45" i="8" s="1"/>
  <c r="I45" i="8" s="1"/>
  <c r="K45" i="8" s="1"/>
  <c r="C52" i="8" s="1"/>
  <c r="E52" i="8" s="1"/>
  <c r="G52" i="8" s="1"/>
  <c r="I52" i="8" s="1"/>
  <c r="K52" i="8" s="1"/>
  <c r="C59" i="8" s="1"/>
  <c r="E59" i="8" s="1"/>
  <c r="G59" i="8" s="1"/>
  <c r="I59" i="8" s="1"/>
  <c r="K59" i="8" s="1"/>
  <c r="C66" i="8" s="1"/>
  <c r="E66" i="8" s="1"/>
  <c r="G66" i="8" s="1"/>
  <c r="I66" i="8" s="1"/>
  <c r="K66" i="8" s="1"/>
  <c r="C73" i="8" s="1"/>
  <c r="G73" i="8"/>
  <c r="I73" i="8" s="1"/>
  <c r="K73" i="8" s="1"/>
  <c r="E80" i="8" s="1"/>
  <c r="G80" i="8" s="1"/>
  <c r="I80" i="8" s="1"/>
  <c r="K80" i="8" s="1"/>
  <c r="C87" i="8" s="1"/>
  <c r="E87" i="8" s="1"/>
  <c r="G87" i="8" s="1"/>
  <c r="I87" i="8" s="1"/>
  <c r="K87" i="8" s="1"/>
  <c r="C94" i="8" s="1"/>
  <c r="E94" i="8" s="1"/>
  <c r="G94" i="8" s="1"/>
  <c r="I94" i="8" s="1"/>
  <c r="K94" i="8" s="1"/>
  <c r="C101" i="8" s="1"/>
  <c r="E101" i="8" s="1"/>
  <c r="G101" i="8" s="1"/>
  <c r="I101" i="8" s="1"/>
  <c r="K101" i="8" s="1"/>
  <c r="C108" i="8" s="1"/>
  <c r="E108" i="8" s="1"/>
  <c r="G108" i="8" s="1"/>
  <c r="I108" i="8" s="1"/>
  <c r="K108" i="8" s="1"/>
  <c r="C115" i="8" s="1"/>
  <c r="E115" i="8" s="1"/>
  <c r="G115" i="8" s="1"/>
  <c r="I115" i="8" s="1"/>
  <c r="K115" i="8" s="1"/>
  <c r="C122" i="8" s="1"/>
  <c r="E122" i="8" s="1"/>
  <c r="G122" i="8" s="1"/>
  <c r="I122" i="8" s="1"/>
  <c r="K122" i="8" s="1"/>
  <c r="C129" i="8" s="1"/>
  <c r="E129" i="8" s="1"/>
  <c r="G129" i="8" s="1"/>
  <c r="I129" i="8" s="1"/>
  <c r="K129" i="8" s="1"/>
  <c r="C136" i="8" s="1"/>
  <c r="E136" i="8" s="1"/>
  <c r="G136" i="8" s="1"/>
  <c r="I136" i="8" s="1"/>
  <c r="K136" i="8" s="1"/>
  <c r="C143" i="8" s="1"/>
  <c r="E143" i="8" s="1"/>
  <c r="G143" i="8" s="1"/>
  <c r="I143" i="8" s="1"/>
  <c r="K143" i="8" s="1"/>
  <c r="C150" i="8" s="1"/>
  <c r="E150" i="8" s="1"/>
  <c r="G150" i="8" s="1"/>
  <c r="I150" i="8" s="1"/>
  <c r="K150" i="8" s="1"/>
  <c r="C157" i="8" s="1"/>
  <c r="E157" i="8" s="1"/>
  <c r="G157" i="8" s="1"/>
  <c r="I157" i="8" s="1"/>
  <c r="K157" i="8" s="1"/>
  <c r="C164" i="8" s="1"/>
  <c r="E164" i="8" s="1"/>
  <c r="G164" i="8" s="1"/>
  <c r="I164" i="8" s="1"/>
  <c r="K164" i="8" s="1"/>
  <c r="C171" i="8" s="1"/>
  <c r="E171" i="8" s="1"/>
  <c r="G171" i="8" s="1"/>
  <c r="I171" i="8" s="1"/>
  <c r="K171" i="8" s="1"/>
  <c r="C178" i="8" s="1"/>
  <c r="E178" i="8" s="1"/>
  <c r="G178" i="8" s="1"/>
  <c r="I178" i="8" s="1"/>
  <c r="K178" i="8" s="1"/>
  <c r="C185" i="8" s="1"/>
  <c r="E185" i="8" s="1"/>
  <c r="G185" i="8" s="1"/>
  <c r="I185" i="8" s="1"/>
  <c r="K185" i="8" s="1"/>
  <c r="C192" i="8" s="1"/>
  <c r="E192" i="8" s="1"/>
  <c r="G192" i="8" s="1"/>
  <c r="I192" i="8" s="1"/>
  <c r="K192" i="8" s="1"/>
  <c r="C199" i="8" s="1"/>
  <c r="E199" i="8" s="1"/>
  <c r="G199" i="8" s="1"/>
  <c r="I199" i="8" s="1"/>
  <c r="K199" i="8" s="1"/>
  <c r="C206" i="8" s="1"/>
  <c r="E206" i="8" s="1"/>
  <c r="G206" i="8" s="1"/>
  <c r="I206" i="8" s="1"/>
  <c r="K206" i="8" s="1"/>
  <c r="C213" i="8" s="1"/>
  <c r="E213" i="8" s="1"/>
  <c r="G213" i="8" s="1"/>
  <c r="I213" i="8" s="1"/>
  <c r="K213" i="8" s="1"/>
  <c r="C220" i="8" s="1"/>
  <c r="E220" i="8" s="1"/>
  <c r="G220" i="8" s="1"/>
  <c r="I220" i="8" s="1"/>
  <c r="K220" i="8" s="1"/>
  <c r="C227" i="8" s="1"/>
  <c r="E227" i="8" s="1"/>
  <c r="G227" i="8" s="1"/>
  <c r="I227" i="8" s="1"/>
  <c r="K227" i="8" s="1"/>
  <c r="C234" i="8" s="1"/>
  <c r="E234" i="8" s="1"/>
  <c r="G234" i="8" s="1"/>
  <c r="I234" i="8" s="1"/>
  <c r="K234" i="8" s="1"/>
  <c r="C241" i="8" s="1"/>
  <c r="E241" i="8" s="1"/>
  <c r="G241" i="8" s="1"/>
  <c r="I241" i="8" s="1"/>
  <c r="K241" i="8" s="1"/>
  <c r="C248" i="8" s="1"/>
  <c r="E248" i="8" s="1"/>
  <c r="G248" i="8" s="1"/>
  <c r="I248" i="8" s="1"/>
  <c r="K248" i="8" s="1"/>
  <c r="C255" i="8" s="1"/>
  <c r="E255" i="8" s="1"/>
  <c r="G255" i="8" s="1"/>
  <c r="I255" i="8" s="1"/>
  <c r="K255" i="8" s="1"/>
  <c r="C262" i="8" s="1"/>
  <c r="E262" i="8" s="1"/>
  <c r="G262" i="8" s="1"/>
  <c r="I262" i="8" s="1"/>
  <c r="K262" i="8" s="1"/>
  <c r="C269" i="8" s="1"/>
  <c r="E269" i="8" s="1"/>
  <c r="G269" i="8" s="1"/>
  <c r="I269" i="8" s="1"/>
  <c r="K269" i="8" s="1"/>
  <c r="C276" i="8" s="1"/>
  <c r="E276" i="8" s="1"/>
  <c r="G276" i="8" s="1"/>
  <c r="I276" i="8" s="1"/>
  <c r="K276" i="8" s="1"/>
  <c r="C283" i="8" s="1"/>
  <c r="E283" i="8" s="1"/>
  <c r="G283" i="8" s="1"/>
  <c r="I283" i="8" s="1"/>
  <c r="K283" i="8" s="1"/>
  <c r="C290" i="8" s="1"/>
  <c r="E290" i="8" s="1"/>
  <c r="G290" i="8" s="1"/>
  <c r="I290" i="8" s="1"/>
  <c r="K290" i="8" s="1"/>
  <c r="C297" i="8" s="1"/>
  <c r="E297" i="8" s="1"/>
  <c r="G297" i="8" s="1"/>
  <c r="I297" i="8" s="1"/>
  <c r="K297" i="8" s="1"/>
  <c r="C304" i="8" s="1"/>
  <c r="E304" i="8" s="1"/>
  <c r="G304" i="8" s="1"/>
  <c r="I304" i="8" s="1"/>
  <c r="K304" i="8" s="1"/>
  <c r="C311" i="8" s="1"/>
  <c r="E311" i="8" s="1"/>
  <c r="G311" i="8" s="1"/>
  <c r="I311" i="8" s="1"/>
  <c r="K311" i="8" s="1"/>
  <c r="C318" i="8" s="1"/>
  <c r="E318" i="8" s="1"/>
  <c r="G318" i="8" s="1"/>
  <c r="I318" i="8" s="1"/>
  <c r="K318" i="8" s="1"/>
  <c r="C325" i="8" s="1"/>
  <c r="E325" i="8" s="1"/>
  <c r="G325" i="8" s="1"/>
  <c r="I325" i="8" s="1"/>
  <c r="K325" i="8" s="1"/>
  <c r="C332" i="8" s="1"/>
  <c r="E332" i="8" s="1"/>
  <c r="G332" i="8" s="1"/>
  <c r="I332" i="8" s="1"/>
  <c r="K332" i="8" s="1"/>
  <c r="C339" i="8" s="1"/>
  <c r="E339" i="8" s="1"/>
  <c r="G339" i="8" s="1"/>
  <c r="I339" i="8" s="1"/>
  <c r="K339" i="8" s="1"/>
  <c r="C346" i="8" s="1"/>
  <c r="E346" i="8" s="1"/>
  <c r="G346" i="8" s="1"/>
  <c r="I346" i="8" s="1"/>
  <c r="K346" i="8" s="1"/>
  <c r="C353" i="8" s="1"/>
  <c r="E353" i="8" s="1"/>
  <c r="G353" i="8" s="1"/>
  <c r="I353" i="8" s="1"/>
  <c r="K353" i="8" s="1"/>
  <c r="C360" i="8" s="1"/>
  <c r="E360" i="8" s="1"/>
  <c r="G360" i="8" s="1"/>
  <c r="I360" i="8" s="1"/>
  <c r="K360" i="8" s="1"/>
  <c r="C367" i="8" s="1"/>
  <c r="E367" i="8" s="1"/>
  <c r="G367" i="8" s="1"/>
  <c r="I367" i="8" s="1"/>
  <c r="K367" i="8" s="1"/>
  <c r="C374" i="8" s="1"/>
  <c r="E374" i="8" s="1"/>
  <c r="G374" i="8" s="1"/>
  <c r="I374" i="8" s="1"/>
  <c r="K374" i="8" s="1"/>
  <c r="C381" i="8" s="1"/>
  <c r="E381" i="8" s="1"/>
  <c r="G381" i="8" s="1"/>
  <c r="I381" i="8" s="1"/>
  <c r="K381" i="8" s="1"/>
  <c r="C388" i="8" s="1"/>
  <c r="E388" i="8" s="1"/>
  <c r="G388" i="8" s="1"/>
  <c r="I388" i="8" s="1"/>
  <c r="K388" i="8" s="1"/>
  <c r="C395" i="8" s="1"/>
  <c r="E395" i="8" s="1"/>
  <c r="G395" i="8" s="1"/>
  <c r="I395" i="8" s="1"/>
  <c r="K395" i="8" s="1"/>
  <c r="C402" i="8" s="1"/>
  <c r="E402" i="8" s="1"/>
  <c r="G402" i="8" s="1"/>
  <c r="I402" i="8" s="1"/>
  <c r="K402" i="8" s="1"/>
  <c r="C409" i="8" s="1"/>
  <c r="E409" i="8" s="1"/>
  <c r="G409" i="8" s="1"/>
  <c r="I409" i="8" s="1"/>
  <c r="K409" i="8" s="1"/>
  <c r="C416" i="8" s="1"/>
  <c r="E416" i="8" s="1"/>
  <c r="G416" i="8" s="1"/>
  <c r="I416" i="8" s="1"/>
  <c r="K416" i="8" s="1"/>
  <c r="C423" i="8" s="1"/>
  <c r="E423" i="8" s="1"/>
  <c r="G423" i="8" s="1"/>
  <c r="I423" i="8" s="1"/>
  <c r="K423" i="8" s="1"/>
  <c r="C430" i="8" s="1"/>
  <c r="E430" i="8" s="1"/>
  <c r="G430" i="8" s="1"/>
  <c r="I430" i="8" s="1"/>
  <c r="K430" i="8" s="1"/>
  <c r="C437" i="8" s="1"/>
  <c r="E437" i="8" s="1"/>
  <c r="G437" i="8" s="1"/>
  <c r="I437" i="8" s="1"/>
  <c r="K437" i="8" s="1"/>
  <c r="C444" i="8" s="1"/>
  <c r="E444" i="8" s="1"/>
  <c r="G444" i="8" s="1"/>
  <c r="I444" i="8" s="1"/>
  <c r="K444" i="8" s="1"/>
  <c r="C451" i="8" s="1"/>
  <c r="E451" i="8" s="1"/>
  <c r="G451" i="8" s="1"/>
  <c r="I451" i="8" s="1"/>
  <c r="K451" i="8" s="1"/>
  <c r="C458" i="8" s="1"/>
  <c r="E458" i="8" s="1"/>
  <c r="G458" i="8" s="1"/>
  <c r="I458" i="8" s="1"/>
  <c r="K458" i="8" s="1"/>
  <c r="C465" i="8" s="1"/>
  <c r="E465" i="8" s="1"/>
  <c r="G465" i="8" s="1"/>
  <c r="I465" i="8" s="1"/>
  <c r="K465" i="8" s="1"/>
  <c r="C472" i="8" s="1"/>
  <c r="E472" i="8" s="1"/>
  <c r="G472" i="8" s="1"/>
  <c r="I472" i="8" s="1"/>
  <c r="K472" i="8" s="1"/>
  <c r="C479" i="8" s="1"/>
  <c r="E479" i="8" s="1"/>
  <c r="G479" i="8" s="1"/>
  <c r="I479" i="8" s="1"/>
  <c r="K479" i="8" s="1"/>
  <c r="C486" i="8" s="1"/>
  <c r="E486" i="8" s="1"/>
  <c r="G486" i="8" s="1"/>
  <c r="I486" i="8" s="1"/>
  <c r="K486" i="8" s="1"/>
  <c r="C493" i="8" s="1"/>
  <c r="E493" i="8" s="1"/>
  <c r="G493" i="8" s="1"/>
  <c r="I493" i="8" s="1"/>
  <c r="K493" i="8" s="1"/>
  <c r="C500" i="8" s="1"/>
  <c r="E500" i="8" s="1"/>
  <c r="G500" i="8" s="1"/>
  <c r="I500" i="8" s="1"/>
  <c r="K500" i="8" s="1"/>
  <c r="C507" i="8" s="1"/>
  <c r="E507" i="8" s="1"/>
  <c r="G507" i="8" s="1"/>
  <c r="I507" i="8" s="1"/>
  <c r="K507" i="8" s="1"/>
  <c r="C514" i="8" s="1"/>
  <c r="E514" i="8" s="1"/>
  <c r="G514" i="8" s="1"/>
  <c r="I514" i="8" s="1"/>
  <c r="K514" i="8" s="1"/>
  <c r="C521" i="8" s="1"/>
  <c r="E521" i="8" s="1"/>
  <c r="G521" i="8" s="1"/>
  <c r="I521" i="8" s="1"/>
  <c r="K521" i="8" s="1"/>
  <c r="C528" i="8" s="1"/>
  <c r="E528" i="8" s="1"/>
  <c r="G528" i="8" s="1"/>
  <c r="I528" i="8" s="1"/>
  <c r="K528" i="8" s="1"/>
  <c r="C535" i="8" s="1"/>
  <c r="E535" i="8" s="1"/>
  <c r="G535" i="8" s="1"/>
  <c r="I535" i="8" s="1"/>
  <c r="K535" i="8" s="1"/>
  <c r="C542" i="8" s="1"/>
  <c r="E542" i="8" s="1"/>
  <c r="G542" i="8" s="1"/>
  <c r="I542" i="8" s="1"/>
  <c r="K542" i="8" s="1"/>
  <c r="C549" i="8" s="1"/>
  <c r="E549" i="8" s="1"/>
  <c r="G549" i="8" s="1"/>
  <c r="I549" i="8" s="1"/>
  <c r="K549" i="8" s="1"/>
  <c r="C556" i="8" s="1"/>
  <c r="E556" i="8" s="1"/>
  <c r="G556" i="8" s="1"/>
  <c r="I556" i="8" s="1"/>
  <c r="K556" i="8" s="1"/>
  <c r="C563" i="8" s="1"/>
  <c r="E563" i="8" s="1"/>
  <c r="G563" i="8" s="1"/>
  <c r="I563" i="8" s="1"/>
  <c r="K563" i="8" s="1"/>
  <c r="C570" i="8" s="1"/>
  <c r="E570" i="8" s="1"/>
  <c r="G570" i="8" s="1"/>
  <c r="I570" i="8" s="1"/>
  <c r="K570" i="8" s="1"/>
  <c r="C577" i="8" s="1"/>
  <c r="E577" i="8" s="1"/>
  <c r="G577" i="8" s="1"/>
  <c r="I577" i="8" s="1"/>
  <c r="K577" i="8" s="1"/>
  <c r="C584" i="8" s="1"/>
  <c r="E584" i="8" s="1"/>
  <c r="G584" i="8" s="1"/>
  <c r="I584" i="8" s="1"/>
  <c r="K584" i="8" s="1"/>
  <c r="C591" i="8" s="1"/>
  <c r="E591" i="8" s="1"/>
  <c r="G591" i="8" s="1"/>
  <c r="I591" i="8" s="1"/>
  <c r="K591" i="8" s="1"/>
  <c r="C598" i="8" s="1"/>
  <c r="E598" i="8" s="1"/>
  <c r="G598" i="8" s="1"/>
  <c r="I598" i="8" s="1"/>
  <c r="K598" i="8" s="1"/>
  <c r="C605" i="8" s="1"/>
  <c r="E605" i="8" s="1"/>
  <c r="G605" i="8" s="1"/>
  <c r="I605" i="8" s="1"/>
  <c r="K605" i="8" s="1"/>
  <c r="C612" i="8" s="1"/>
  <c r="E612" i="8" s="1"/>
  <c r="G612" i="8" s="1"/>
  <c r="I612" i="8" s="1"/>
  <c r="K612" i="8" s="1"/>
  <c r="C619" i="8" s="1"/>
  <c r="E619" i="8" s="1"/>
  <c r="G619" i="8" s="1"/>
  <c r="I619" i="8" s="1"/>
  <c r="K619" i="8" s="1"/>
  <c r="C626" i="8" s="1"/>
  <c r="E626" i="8" s="1"/>
  <c r="G626" i="8" s="1"/>
  <c r="I626" i="8" s="1"/>
  <c r="K626" i="8" s="1"/>
  <c r="C633" i="8" s="1"/>
  <c r="E633" i="8" s="1"/>
  <c r="G633" i="8" s="1"/>
  <c r="I633" i="8" s="1"/>
  <c r="K633" i="8" s="1"/>
  <c r="C640" i="8" s="1"/>
  <c r="E640" i="8" s="1"/>
  <c r="G640" i="8" s="1"/>
  <c r="I640" i="8" s="1"/>
  <c r="K640" i="8" s="1"/>
  <c r="C647" i="8" s="1"/>
  <c r="E647" i="8" s="1"/>
  <c r="G647" i="8" s="1"/>
  <c r="I647" i="8" s="1"/>
  <c r="K647" i="8" s="1"/>
  <c r="C654" i="8" s="1"/>
  <c r="E654" i="8" s="1"/>
  <c r="G654" i="8" s="1"/>
  <c r="I654" i="8" s="1"/>
  <c r="K654" i="8" s="1"/>
  <c r="C661" i="8" s="1"/>
  <c r="E661" i="8" s="1"/>
  <c r="G661" i="8" s="1"/>
  <c r="I661" i="8" s="1"/>
  <c r="K661" i="8" s="1"/>
  <c r="C668" i="8" s="1"/>
  <c r="E668" i="8" s="1"/>
  <c r="G668" i="8" s="1"/>
  <c r="I668" i="8" s="1"/>
  <c r="K668" i="8" s="1"/>
  <c r="C675" i="8" s="1"/>
  <c r="E675" i="8" s="1"/>
  <c r="G675" i="8" s="1"/>
  <c r="I675" i="8" s="1"/>
  <c r="K675" i="8" s="1"/>
  <c r="C682" i="8" s="1"/>
  <c r="E682" i="8" s="1"/>
  <c r="G682" i="8" s="1"/>
  <c r="I682" i="8" s="1"/>
  <c r="K682" i="8" s="1"/>
  <c r="C689" i="8" s="1"/>
  <c r="E689" i="8" s="1"/>
  <c r="G689" i="8" s="1"/>
  <c r="I689" i="8" s="1"/>
  <c r="K689" i="8" s="1"/>
  <c r="C696" i="8" s="1"/>
  <c r="E696" i="8" s="1"/>
  <c r="G696" i="8" s="1"/>
  <c r="I696" i="8" s="1"/>
  <c r="K696" i="8" s="1"/>
  <c r="C703" i="8" s="1"/>
  <c r="E703" i="8" s="1"/>
  <c r="G703" i="8" s="1"/>
  <c r="I703" i="8" s="1"/>
  <c r="K703" i="8" s="1"/>
  <c r="C710" i="8" s="1"/>
  <c r="E710" i="8" s="1"/>
  <c r="G710" i="8" s="1"/>
  <c r="I710" i="8" s="1"/>
  <c r="K710" i="8" s="1"/>
  <c r="C717" i="8" s="1"/>
  <c r="E717" i="8" s="1"/>
  <c r="G717" i="8" s="1"/>
  <c r="I717" i="8" s="1"/>
  <c r="K717" i="8" s="1"/>
  <c r="C724" i="8" s="1"/>
  <c r="E724" i="8" s="1"/>
  <c r="G724" i="8" s="1"/>
  <c r="I724" i="8" s="1"/>
  <c r="K724" i="8" s="1"/>
  <c r="C731" i="8" s="1"/>
  <c r="E731" i="8" s="1"/>
  <c r="G731" i="8" s="1"/>
  <c r="I731" i="8" s="1"/>
  <c r="K731" i="8" s="1"/>
  <c r="C738" i="8" s="1"/>
  <c r="E738" i="8" s="1"/>
  <c r="G738" i="8" s="1"/>
  <c r="I738" i="8" s="1"/>
  <c r="K738" i="8" s="1"/>
  <c r="C745" i="8" s="1"/>
  <c r="E745" i="8" s="1"/>
  <c r="G745" i="8" s="1"/>
  <c r="I745" i="8" s="1"/>
  <c r="K745" i="8" s="1"/>
  <c r="C752" i="8" s="1"/>
  <c r="E752" i="8" s="1"/>
  <c r="G752" i="8" s="1"/>
  <c r="I752" i="8" s="1"/>
  <c r="K752" i="8" s="1"/>
  <c r="C759" i="8" s="1"/>
  <c r="E759" i="8" s="1"/>
  <c r="G759" i="8" s="1"/>
  <c r="I759" i="8" s="1"/>
  <c r="K759" i="8" s="1"/>
  <c r="C766" i="8" s="1"/>
  <c r="E766" i="8" s="1"/>
  <c r="G766" i="8" s="1"/>
  <c r="I766" i="8" s="1"/>
  <c r="K766" i="8" s="1"/>
  <c r="C773" i="8" s="1"/>
  <c r="E773" i="8" s="1"/>
  <c r="G773" i="8" s="1"/>
  <c r="I773" i="8" s="1"/>
  <c r="K773" i="8" s="1"/>
  <c r="C780" i="8" s="1"/>
  <c r="E780" i="8" s="1"/>
  <c r="G780" i="8" s="1"/>
  <c r="I780" i="8" s="1"/>
  <c r="K780" i="8" s="1"/>
  <c r="C787" i="8" s="1"/>
  <c r="E787" i="8" s="1"/>
  <c r="G787" i="8" s="1"/>
  <c r="I787" i="8" s="1"/>
  <c r="K787" i="8" s="1"/>
  <c r="C794" i="8" s="1"/>
  <c r="E794" i="8" s="1"/>
  <c r="G794" i="8" s="1"/>
  <c r="I794" i="8" s="1"/>
  <c r="K794" i="8" s="1"/>
  <c r="C801" i="8" s="1"/>
  <c r="E801" i="8" s="1"/>
  <c r="G801" i="8" s="1"/>
  <c r="I801" i="8" s="1"/>
  <c r="K801" i="8" s="1"/>
  <c r="C808" i="8" s="1"/>
  <c r="E808" i="8" s="1"/>
  <c r="G808" i="8" s="1"/>
  <c r="I808" i="8" s="1"/>
  <c r="K808" i="8" s="1"/>
  <c r="C815" i="8" s="1"/>
  <c r="E815" i="8" s="1"/>
  <c r="G815" i="8" s="1"/>
  <c r="I815" i="8" s="1"/>
  <c r="K815" i="8" s="1"/>
  <c r="C822" i="8" s="1"/>
  <c r="E822" i="8" s="1"/>
  <c r="G822" i="8" s="1"/>
  <c r="I822" i="8" s="1"/>
  <c r="K822" i="8" s="1"/>
  <c r="C829" i="8" s="1"/>
  <c r="E829" i="8" s="1"/>
  <c r="G829" i="8" s="1"/>
  <c r="I829" i="8" s="1"/>
  <c r="K829" i="8" s="1"/>
  <c r="C836" i="8" s="1"/>
  <c r="E836" i="8" s="1"/>
  <c r="G836" i="8" s="1"/>
  <c r="I836" i="8" s="1"/>
  <c r="K836" i="8" s="1"/>
  <c r="C843" i="8" s="1"/>
  <c r="E843" i="8" s="1"/>
  <c r="G843" i="8" s="1"/>
  <c r="I843" i="8" s="1"/>
  <c r="K843" i="8" s="1"/>
  <c r="C850" i="8" s="1"/>
  <c r="E850" i="8" s="1"/>
  <c r="G850" i="8" s="1"/>
  <c r="I850" i="8" s="1"/>
  <c r="K850" i="8" s="1"/>
  <c r="C857" i="8" s="1"/>
  <c r="E857" i="8" s="1"/>
  <c r="G857" i="8" s="1"/>
  <c r="I857" i="8" s="1"/>
  <c r="K857" i="8" s="1"/>
  <c r="C864" i="8" s="1"/>
  <c r="E864" i="8" s="1"/>
  <c r="G864" i="8" s="1"/>
  <c r="I864" i="8" s="1"/>
  <c r="K864" i="8" s="1"/>
  <c r="C871" i="8" s="1"/>
  <c r="E871" i="8" s="1"/>
  <c r="G871" i="8" s="1"/>
  <c r="I871" i="8" s="1"/>
  <c r="K871" i="8" s="1"/>
  <c r="C878" i="8" s="1"/>
  <c r="E878" i="8" s="1"/>
  <c r="G878" i="8" s="1"/>
  <c r="I878" i="8" s="1"/>
  <c r="K878" i="8" s="1"/>
  <c r="C885" i="8" s="1"/>
  <c r="E885" i="8" s="1"/>
  <c r="G885" i="8" s="1"/>
  <c r="I885" i="8" s="1"/>
  <c r="K885" i="8" s="1"/>
  <c r="C892" i="8" s="1"/>
  <c r="E892" i="8" s="1"/>
  <c r="G892" i="8" s="1"/>
  <c r="I892" i="8" s="1"/>
  <c r="K892" i="8" s="1"/>
  <c r="C899" i="8" s="1"/>
  <c r="E899" i="8" s="1"/>
  <c r="G899" i="8" s="1"/>
  <c r="I899" i="8" s="1"/>
  <c r="K899" i="8" s="1"/>
  <c r="C906" i="8" s="1"/>
  <c r="E906" i="8" s="1"/>
  <c r="G906" i="8" s="1"/>
  <c r="I906" i="8" s="1"/>
  <c r="K906" i="8" s="1"/>
  <c r="C913" i="8" s="1"/>
  <c r="E913" i="8" s="1"/>
  <c r="G913" i="8" s="1"/>
  <c r="I913" i="8" s="1"/>
  <c r="K913" i="8" s="1"/>
  <c r="C920" i="8" s="1"/>
  <c r="E920" i="8" s="1"/>
  <c r="G920" i="8" s="1"/>
  <c r="I920" i="8" s="1"/>
  <c r="K920" i="8" s="1"/>
  <c r="C927" i="8" s="1"/>
  <c r="E927" i="8" s="1"/>
  <c r="G927" i="8" s="1"/>
  <c r="I927" i="8" s="1"/>
  <c r="K927" i="8" s="1"/>
  <c r="C934" i="8" s="1"/>
  <c r="E934" i="8" s="1"/>
  <c r="G934" i="8" s="1"/>
  <c r="I934" i="8" s="1"/>
  <c r="K934" i="8" s="1"/>
  <c r="C941" i="8" s="1"/>
  <c r="E941" i="8" s="1"/>
  <c r="G941" i="8" s="1"/>
  <c r="I941" i="8" s="1"/>
  <c r="K941" i="8" s="1"/>
  <c r="C948" i="8" s="1"/>
  <c r="E948" i="8" s="1"/>
  <c r="G948" i="8" s="1"/>
  <c r="I948" i="8" s="1"/>
  <c r="C955" i="8"/>
  <c r="E955" i="8" s="1"/>
  <c r="G955" i="8" s="1"/>
  <c r="I955" i="8" s="1"/>
  <c r="K955" i="8" s="1"/>
  <c r="C962" i="8" s="1"/>
  <c r="E962" i="8" s="1"/>
  <c r="G962" i="8" s="1"/>
  <c r="I962" i="8" s="1"/>
  <c r="K962" i="8" s="1"/>
  <c r="C969" i="8" s="1"/>
  <c r="E969" i="8" s="1"/>
  <c r="G969" i="8" s="1"/>
  <c r="I969" i="8" s="1"/>
  <c r="K969" i="8" s="1"/>
  <c r="C976" i="8" s="1"/>
  <c r="E976" i="8" s="1"/>
  <c r="G976" i="8" s="1"/>
  <c r="I976" i="8" s="1"/>
  <c r="K976" i="8" s="1"/>
  <c r="C983" i="8" s="1"/>
  <c r="E983" i="8" s="1"/>
  <c r="G983" i="8" s="1"/>
  <c r="I983" i="8" s="1"/>
  <c r="K983" i="8" s="1"/>
  <c r="C990" i="8" s="1"/>
  <c r="E990" i="8" s="1"/>
  <c r="G990" i="8" s="1"/>
  <c r="I990" i="8" s="1"/>
  <c r="K990" i="8" s="1"/>
  <c r="C997" i="8" s="1"/>
  <c r="E997" i="8" s="1"/>
  <c r="G997" i="8" s="1"/>
  <c r="I997" i="8" s="1"/>
  <c r="K997" i="8" s="1"/>
  <c r="C1004" i="8" s="1"/>
  <c r="E1004" i="8" s="1"/>
  <c r="G1004" i="8" s="1"/>
  <c r="I1004" i="8" s="1"/>
  <c r="K1004" i="8" s="1"/>
  <c r="C1011" i="8" s="1"/>
  <c r="E1011" i="8" s="1"/>
  <c r="G1011" i="8" s="1"/>
  <c r="I1011" i="8" s="1"/>
  <c r="K1011" i="8" s="1"/>
  <c r="C1018" i="8" s="1"/>
  <c r="E1018" i="8" s="1"/>
  <c r="G1018" i="8" s="1"/>
  <c r="I1018" i="8" s="1"/>
  <c r="K1018" i="8" s="1"/>
  <c r="C1025" i="8" s="1"/>
  <c r="E1025" i="8" s="1"/>
  <c r="G1025" i="8" s="1"/>
  <c r="I1025" i="8" s="1"/>
  <c r="K1025" i="8" s="1"/>
  <c r="C1032" i="8" s="1"/>
  <c r="E1032" i="8" s="1"/>
  <c r="G1032" i="8" s="1"/>
  <c r="I1032" i="8" s="1"/>
  <c r="K1032" i="8" s="1"/>
  <c r="C1039" i="8" s="1"/>
  <c r="E1039" i="8" s="1"/>
  <c r="G1039" i="8" s="1"/>
  <c r="I1039" i="8" s="1"/>
  <c r="K1039" i="8" s="1"/>
  <c r="C1046" i="8" s="1"/>
  <c r="E1046" i="8" s="1"/>
  <c r="G1046" i="8" s="1"/>
  <c r="I1046" i="8" s="1"/>
  <c r="K1046" i="8" s="1"/>
  <c r="C1053" i="8" s="1"/>
  <c r="E1053" i="8" s="1"/>
  <c r="G1053" i="8" s="1"/>
  <c r="I1053" i="8" s="1"/>
  <c r="K1053" i="8" s="1"/>
  <c r="C1060" i="8" s="1"/>
  <c r="E1060" i="8" s="1"/>
  <c r="G1060" i="8" s="1"/>
  <c r="I1060" i="8" s="1"/>
  <c r="K1060" i="8" s="1"/>
  <c r="C1067" i="8" s="1"/>
  <c r="E1067" i="8" s="1"/>
  <c r="G1067" i="8" s="1"/>
  <c r="I1067" i="8" s="1"/>
  <c r="K1067" i="8" s="1"/>
  <c r="C1074" i="8" s="1"/>
  <c r="E1074" i="8" s="1"/>
  <c r="G1074" i="8" s="1"/>
  <c r="I1074" i="8" s="1"/>
  <c r="K1074" i="8" s="1"/>
  <c r="C1081" i="8" s="1"/>
  <c r="E1081" i="8" s="1"/>
  <c r="G1081" i="8" s="1"/>
  <c r="I1081" i="8" s="1"/>
  <c r="K1081" i="8" s="1"/>
  <c r="C1088" i="8" s="1"/>
  <c r="E1088" i="8" s="1"/>
  <c r="G1088" i="8" s="1"/>
  <c r="I1088" i="8" s="1"/>
  <c r="K1088" i="8" s="1"/>
  <c r="C1095" i="8" s="1"/>
  <c r="E1095" i="8" s="1"/>
  <c r="G1095" i="8" s="1"/>
  <c r="I1095" i="8" s="1"/>
  <c r="K1095" i="8" s="1"/>
  <c r="C1102" i="8" s="1"/>
  <c r="E1102" i="8" s="1"/>
  <c r="G1102" i="8" s="1"/>
  <c r="I1102" i="8" s="1"/>
  <c r="K1102" i="8" s="1"/>
  <c r="C1109" i="8" s="1"/>
  <c r="E1109" i="8" s="1"/>
  <c r="G1109" i="8" s="1"/>
  <c r="I1109" i="8" s="1"/>
  <c r="K1109" i="8" s="1"/>
  <c r="C1116" i="8" s="1"/>
  <c r="E1116" i="8" s="1"/>
  <c r="G1116" i="8" s="1"/>
  <c r="I1116" i="8" s="1"/>
  <c r="K1116" i="8" s="1"/>
  <c r="C1123" i="8" s="1"/>
  <c r="E1123" i="8" s="1"/>
  <c r="G1123" i="8" s="1"/>
  <c r="I1123" i="8" s="1"/>
  <c r="K1123" i="8" s="1"/>
  <c r="C1130" i="8" s="1"/>
  <c r="E1130" i="8" s="1"/>
  <c r="G1130" i="8" s="1"/>
  <c r="I1130" i="8" s="1"/>
  <c r="K1130" i="8" s="1"/>
  <c r="C1137" i="8" s="1"/>
  <c r="E1137" i="8" s="1"/>
  <c r="G1137" i="8" s="1"/>
  <c r="I1137" i="8" s="1"/>
  <c r="K1137" i="8" s="1"/>
  <c r="C1144" i="8" s="1"/>
  <c r="E1144" i="8" s="1"/>
  <c r="G1144" i="8" s="1"/>
  <c r="I1144" i="8" s="1"/>
  <c r="K1144" i="8" s="1"/>
  <c r="C1151" i="8" s="1"/>
  <c r="E1151" i="8" s="1"/>
  <c r="G1151" i="8" s="1"/>
  <c r="I1151" i="8" s="1"/>
  <c r="K1151" i="8" s="1"/>
  <c r="C1158" i="8" s="1"/>
  <c r="E1158" i="8" s="1"/>
  <c r="G1158" i="8" s="1"/>
  <c r="I1158" i="8" s="1"/>
  <c r="K1158" i="8" s="1"/>
  <c r="C1165" i="8" s="1"/>
  <c r="E1165" i="8" s="1"/>
  <c r="G1165" i="8" s="1"/>
  <c r="I1165" i="8" s="1"/>
  <c r="K1165" i="8" s="1"/>
  <c r="C1172" i="8" s="1"/>
  <c r="E1172" i="8" s="1"/>
  <c r="G1172" i="8" s="1"/>
  <c r="I1172" i="8" s="1"/>
  <c r="K1172" i="8" s="1"/>
  <c r="C1179" i="8" s="1"/>
  <c r="E1179" i="8" s="1"/>
  <c r="G1179" i="8" s="1"/>
  <c r="I1179" i="8" s="1"/>
  <c r="K1179" i="8" s="1"/>
  <c r="C1186" i="8" s="1"/>
  <c r="E1186" i="8" s="1"/>
  <c r="G1186" i="8" s="1"/>
  <c r="I1186" i="8" s="1"/>
  <c r="K1186" i="8" s="1"/>
  <c r="C1193" i="8" s="1"/>
  <c r="E1193" i="8" s="1"/>
  <c r="G1193" i="8" s="1"/>
  <c r="I1193" i="8" s="1"/>
  <c r="K1193" i="8" s="1"/>
  <c r="C1200" i="8" s="1"/>
  <c r="E1200" i="8" s="1"/>
  <c r="G1200" i="8" s="1"/>
  <c r="I1200" i="8" s="1"/>
  <c r="K1200" i="8" s="1"/>
  <c r="C1207" i="8" s="1"/>
  <c r="E1207" i="8" s="1"/>
  <c r="G1207" i="8" s="1"/>
  <c r="I1207" i="8" s="1"/>
  <c r="K1207" i="8" s="1"/>
  <c r="C1214" i="8" s="1"/>
  <c r="E1214" i="8" s="1"/>
  <c r="G1214" i="8" s="1"/>
  <c r="I1214" i="8" s="1"/>
  <c r="K1214" i="8" s="1"/>
  <c r="C1221" i="8" s="1"/>
  <c r="E1221" i="8" s="1"/>
  <c r="G1221" i="8" s="1"/>
  <c r="I1221" i="8" s="1"/>
  <c r="K1221" i="8" s="1"/>
  <c r="C1228" i="8" s="1"/>
  <c r="E1228" i="8" s="1"/>
  <c r="G1228" i="8" s="1"/>
  <c r="I1228" i="8" s="1"/>
  <c r="K1228" i="8" s="1"/>
  <c r="C1235" i="8" s="1"/>
  <c r="E1235" i="8" s="1"/>
  <c r="G1235" i="8" s="1"/>
  <c r="I1235" i="8" s="1"/>
  <c r="K1235" i="8" s="1"/>
  <c r="C1242" i="8" s="1"/>
  <c r="E1242" i="8" s="1"/>
  <c r="G1242" i="8" s="1"/>
  <c r="I1242" i="8" s="1"/>
  <c r="K1242" i="8" s="1"/>
  <c r="C1249" i="8" s="1"/>
  <c r="E1249" i="8" s="1"/>
  <c r="G1249" i="8" s="1"/>
  <c r="I1249" i="8" s="1"/>
  <c r="K1249" i="8" s="1"/>
  <c r="C1256" i="8" s="1"/>
  <c r="E1256" i="8" s="1"/>
  <c r="G1256" i="8" s="1"/>
  <c r="I1256" i="8" s="1"/>
  <c r="K1256" i="8" s="1"/>
  <c r="C1263" i="8" s="1"/>
  <c r="E1263" i="8" s="1"/>
  <c r="G1263" i="8" s="1"/>
  <c r="I1263" i="8" s="1"/>
  <c r="K1263" i="8" s="1"/>
  <c r="C1270" i="8" s="1"/>
  <c r="E1270" i="8" s="1"/>
  <c r="G1270" i="8" s="1"/>
  <c r="I1270" i="8" s="1"/>
  <c r="K1270" i="8" s="1"/>
  <c r="C1277" i="8" s="1"/>
  <c r="E1277" i="8" s="1"/>
  <c r="G1277" i="8" s="1"/>
  <c r="I1277" i="8" s="1"/>
  <c r="K1277" i="8" s="1"/>
  <c r="C1284" i="8" s="1"/>
  <c r="E1284" i="8" s="1"/>
  <c r="G1284" i="8" s="1"/>
  <c r="I1284" i="8" s="1"/>
  <c r="K1284" i="8" s="1"/>
  <c r="C1291" i="8" s="1"/>
  <c r="E1291" i="8" s="1"/>
  <c r="G1291" i="8" s="1"/>
  <c r="I1291" i="8" s="1"/>
  <c r="K1291" i="8" s="1"/>
  <c r="C1298" i="8" s="1"/>
  <c r="E1298" i="8" s="1"/>
  <c r="G1298" i="8" s="1"/>
  <c r="I1298" i="8" s="1"/>
  <c r="K1298" i="8" s="1"/>
  <c r="C1305" i="8" s="1"/>
  <c r="E1305" i="8" s="1"/>
  <c r="G1305" i="8" s="1"/>
  <c r="I1305" i="8" s="1"/>
  <c r="K1305" i="8" s="1"/>
  <c r="C1312" i="8" s="1"/>
  <c r="E1312" i="8" s="1"/>
  <c r="G1312" i="8" s="1"/>
  <c r="I1312" i="8" s="1"/>
  <c r="K1312" i="8" s="1"/>
  <c r="C1319" i="8" s="1"/>
  <c r="E1319" i="8" s="1"/>
  <c r="G1319" i="8" s="1"/>
  <c r="I1319" i="8" s="1"/>
  <c r="K1319" i="8" s="1"/>
  <c r="C1326" i="8" s="1"/>
  <c r="E1326" i="8" s="1"/>
  <c r="G1326" i="8" s="1"/>
  <c r="I1326" i="8" s="1"/>
  <c r="K1326" i="8" s="1"/>
  <c r="C1333" i="8" s="1"/>
  <c r="E1333" i="8" s="1"/>
  <c r="G1333" i="8" s="1"/>
  <c r="I1333" i="8" s="1"/>
  <c r="K1333" i="8" s="1"/>
  <c r="C1340" i="8" s="1"/>
  <c r="E1340" i="8" s="1"/>
  <c r="G1340" i="8" s="1"/>
  <c r="I1340" i="8" s="1"/>
  <c r="K1340" i="8" s="1"/>
  <c r="C1347" i="8" s="1"/>
  <c r="E1347" i="8" s="1"/>
  <c r="G1347" i="8" s="1"/>
  <c r="I1347" i="8" s="1"/>
  <c r="K1347" i="8" s="1"/>
  <c r="C1354" i="8" s="1"/>
  <c r="E1354" i="8" s="1"/>
  <c r="G1354" i="8" s="1"/>
  <c r="I1354" i="8" s="1"/>
  <c r="K1354" i="8" s="1"/>
  <c r="C1361" i="8" s="1"/>
  <c r="E1361" i="8" s="1"/>
  <c r="G1361" i="8" s="1"/>
  <c r="I1361" i="8" s="1"/>
  <c r="K1361" i="8" s="1"/>
  <c r="C1368" i="8" s="1"/>
  <c r="E1368" i="8" s="1"/>
  <c r="G1368" i="8" s="1"/>
  <c r="I1368" i="8" s="1"/>
  <c r="K1368" i="8" s="1"/>
  <c r="C1375" i="8" s="1"/>
  <c r="E1375" i="8" s="1"/>
  <c r="G1375" i="8" s="1"/>
  <c r="I1375" i="8" s="1"/>
  <c r="K1375" i="8" s="1"/>
  <c r="C1382" i="8" s="1"/>
  <c r="E1382" i="8" s="1"/>
  <c r="G1382" i="8" s="1"/>
  <c r="I1382" i="8" s="1"/>
  <c r="K1382" i="8" s="1"/>
  <c r="C1389" i="8" s="1"/>
  <c r="E1389" i="8" s="1"/>
  <c r="G1389" i="8" s="1"/>
  <c r="I1389" i="8" s="1"/>
  <c r="K1389" i="8" s="1"/>
  <c r="C1396" i="8" s="1"/>
  <c r="E1396" i="8" s="1"/>
  <c r="G1396" i="8" s="1"/>
  <c r="I1396" i="8" s="1"/>
  <c r="K1396" i="8" s="1"/>
  <c r="C1403" i="8" s="1"/>
  <c r="E1403" i="8" s="1"/>
  <c r="G1403" i="8" s="1"/>
  <c r="I1403" i="8" s="1"/>
  <c r="K1403" i="8" s="1"/>
  <c r="C1410" i="8" s="1"/>
  <c r="E1410" i="8" s="1"/>
  <c r="G1410" i="8" s="1"/>
  <c r="I1410" i="8" s="1"/>
  <c r="K1410" i="8" s="1"/>
  <c r="C1417" i="8" s="1"/>
  <c r="E1417" i="8" s="1"/>
  <c r="G1417" i="8" s="1"/>
  <c r="I1417" i="8" s="1"/>
  <c r="K1417" i="8" s="1"/>
  <c r="C1424" i="8" s="1"/>
  <c r="E1424" i="8" s="1"/>
  <c r="G1424" i="8" s="1"/>
  <c r="I1424" i="8" s="1"/>
  <c r="K1424" i="8" s="1"/>
  <c r="C1431" i="8" s="1"/>
  <c r="E1431" i="8" s="1"/>
  <c r="G1431" i="8" s="1"/>
  <c r="I1431" i="8" s="1"/>
  <c r="K1431" i="8" s="1"/>
  <c r="C1438" i="8" s="1"/>
  <c r="E1438" i="8" s="1"/>
  <c r="G1438" i="8" s="1"/>
  <c r="I1438" i="8" s="1"/>
  <c r="K1438" i="8" s="1"/>
  <c r="C1445" i="8" s="1"/>
  <c r="E1445" i="8" s="1"/>
  <c r="G1445" i="8" s="1"/>
  <c r="I1445" i="8" s="1"/>
  <c r="K1445" i="8" s="1"/>
  <c r="C1452" i="8" s="1"/>
  <c r="E1452" i="8" s="1"/>
  <c r="G1452" i="8" s="1"/>
  <c r="I1452" i="8" s="1"/>
  <c r="K1452" i="8" s="1"/>
  <c r="C1459" i="8" s="1"/>
  <c r="E1459" i="8" s="1"/>
  <c r="G1459" i="8" s="1"/>
  <c r="I1459" i="8" s="1"/>
  <c r="K1459" i="8" s="1"/>
  <c r="C1466" i="8" s="1"/>
  <c r="E1466" i="8" s="1"/>
  <c r="G1466" i="8" s="1"/>
  <c r="I1466" i="8" s="1"/>
  <c r="K1466" i="8" s="1"/>
  <c r="C1473" i="8" s="1"/>
  <c r="E1473" i="8" s="1"/>
  <c r="G1473" i="8" s="1"/>
  <c r="I1473" i="8" s="1"/>
  <c r="K1473" i="8" s="1"/>
  <c r="C1480" i="8" s="1"/>
  <c r="E1480" i="8" s="1"/>
  <c r="G1480" i="8" s="1"/>
  <c r="I1480" i="8" s="1"/>
  <c r="K1480" i="8" s="1"/>
  <c r="C1487" i="8" s="1"/>
  <c r="E1487" i="8" s="1"/>
  <c r="G1487" i="8" s="1"/>
  <c r="I1487" i="8" s="1"/>
  <c r="K1487" i="8" s="1"/>
  <c r="C1494" i="8" s="1"/>
  <c r="E1494" i="8" s="1"/>
  <c r="G1494" i="8" s="1"/>
  <c r="I1494" i="8" s="1"/>
  <c r="K1494" i="8" s="1"/>
  <c r="C1501" i="8" s="1"/>
  <c r="E1501" i="8" s="1"/>
  <c r="G1501" i="8" s="1"/>
  <c r="I1501" i="8" s="1"/>
  <c r="K1501" i="8" s="1"/>
  <c r="C1508" i="8" s="1"/>
  <c r="E1508" i="8" s="1"/>
  <c r="G1508" i="8" s="1"/>
  <c r="I1508" i="8" s="1"/>
  <c r="K1508" i="8" s="1"/>
  <c r="C1515" i="8" s="1"/>
  <c r="E1515" i="8" s="1"/>
  <c r="G1515" i="8" s="1"/>
  <c r="I1515" i="8" s="1"/>
  <c r="K1515" i="8" s="1"/>
  <c r="C1522" i="8" s="1"/>
  <c r="E1522" i="8" s="1"/>
  <c r="G1522" i="8" s="1"/>
  <c r="I1522" i="8" s="1"/>
  <c r="K1522" i="8" s="1"/>
  <c r="C1529" i="8" s="1"/>
  <c r="E1529" i="8" s="1"/>
  <c r="G1529" i="8" s="1"/>
  <c r="I1529" i="8" s="1"/>
  <c r="K1529" i="8" s="1"/>
  <c r="C1536" i="8" s="1"/>
  <c r="E1536" i="8" s="1"/>
  <c r="G1536" i="8" s="1"/>
  <c r="I1536" i="8" s="1"/>
  <c r="C1774" i="8"/>
  <c r="G1774" i="8"/>
  <c r="I1774" i="8"/>
  <c r="G1780" i="8"/>
  <c r="G1781" i="8"/>
  <c r="G1782" i="8"/>
  <c r="G1783" i="8"/>
  <c r="G1784" i="8"/>
  <c r="G1785" i="8"/>
  <c r="G1786" i="8"/>
  <c r="G1787" i="8"/>
  <c r="G1788" i="8"/>
  <c r="G1789" i="8"/>
  <c r="G1790" i="8"/>
  <c r="G1791" i="8"/>
  <c r="C1792" i="8"/>
  <c r="G1792" i="8"/>
  <c r="C1793" i="8"/>
  <c r="G1793" i="8"/>
  <c r="C1794" i="8"/>
  <c r="G1794" i="8"/>
  <c r="C1795" i="8"/>
  <c r="G1795" i="8"/>
  <c r="C1796" i="8"/>
  <c r="G1796" i="8"/>
  <c r="C1797" i="8"/>
  <c r="G1797" i="8"/>
  <c r="C1798" i="8"/>
  <c r="G1798" i="8"/>
  <c r="C1799" i="8"/>
  <c r="G1799" i="8"/>
  <c r="C1800" i="8"/>
  <c r="G1800" i="8"/>
  <c r="C1801" i="8"/>
  <c r="G1801" i="8"/>
  <c r="K1536" i="8" l="1"/>
  <c r="C1543" i="8" s="1"/>
  <c r="E1543" i="8" s="1"/>
  <c r="G1543" i="8" s="1"/>
  <c r="I1543" i="8" s="1"/>
  <c r="K1543" i="8" s="1"/>
  <c r="C1550" i="8" s="1"/>
  <c r="E1550" i="8" l="1"/>
  <c r="G1550" i="8" s="1"/>
  <c r="I1550" i="8" s="1"/>
  <c r="K1550" i="8" s="1"/>
  <c r="C1557" i="8" s="1"/>
  <c r="E1557" i="8" s="1"/>
  <c r="G1557" i="8" s="1"/>
  <c r="I1557" i="8" s="1"/>
  <c r="K1557" i="8" s="1"/>
  <c r="C1564" i="8" s="1"/>
  <c r="E1564" i="8" s="1"/>
  <c r="G1564" i="8" s="1"/>
  <c r="I1564" i="8" s="1"/>
  <c r="K1564" i="8" s="1"/>
  <c r="C1571" i="8" s="1"/>
  <c r="E1571" i="8" s="1"/>
  <c r="G1571" i="8" s="1"/>
  <c r="I1571" i="8" s="1"/>
  <c r="K1571" i="8" s="1"/>
  <c r="C1578" i="8" s="1"/>
  <c r="E1578" i="8" s="1"/>
  <c r="G1578" i="8" s="1"/>
  <c r="I1578" i="8" s="1"/>
  <c r="K1578" i="8" s="1"/>
  <c r="C1585" i="8" s="1"/>
  <c r="E1585" i="8" s="1"/>
  <c r="G1585" i="8" s="1"/>
  <c r="I1585" i="8" s="1"/>
  <c r="K1585" i="8" s="1"/>
  <c r="C1592" i="8" s="1"/>
  <c r="E1592" i="8" s="1"/>
  <c r="G1592" i="8" s="1"/>
  <c r="I1592" i="8" s="1"/>
  <c r="K1592" i="8" s="1"/>
  <c r="C1599" i="8" s="1"/>
  <c r="E1599" i="8" s="1"/>
  <c r="G1599" i="8" s="1"/>
  <c r="I1599" i="8" s="1"/>
  <c r="K1599" i="8" s="1"/>
  <c r="C1606" i="8" s="1"/>
  <c r="E1606" i="8" s="1"/>
  <c r="G1606" i="8" s="1"/>
  <c r="I1606" i="8" s="1"/>
  <c r="K1606" i="8" s="1"/>
  <c r="C1613" i="8" s="1"/>
  <c r="E1613" i="8" s="1"/>
  <c r="G1613" i="8" s="1"/>
  <c r="I1613" i="8" s="1"/>
  <c r="K1613" i="8" s="1"/>
  <c r="C1620" i="8" s="1"/>
  <c r="E1620" i="8" l="1"/>
  <c r="G1620" i="8" s="1"/>
  <c r="I1620" i="8" s="1"/>
  <c r="K1620" i="8" s="1"/>
  <c r="C1627" i="8" s="1"/>
  <c r="E1627" i="8" s="1"/>
  <c r="G1627" i="8" s="1"/>
  <c r="I1627" i="8" s="1"/>
  <c r="K1627" i="8" s="1"/>
  <c r="C1634" i="8" s="1"/>
  <c r="E1634" i="8" s="1"/>
  <c r="G1634" i="8" s="1"/>
  <c r="I1634" i="8" s="1"/>
  <c r="K1634" i="8" s="1"/>
  <c r="C1641" i="8" s="1"/>
  <c r="E1641" i="8" s="1"/>
  <c r="G1641" i="8" s="1"/>
  <c r="I1641" i="8" s="1"/>
  <c r="K1641" i="8" s="1"/>
  <c r="C1648" i="8" s="1"/>
  <c r="E1648" i="8" s="1"/>
  <c r="G1648" i="8" s="1"/>
  <c r="I1648" i="8" s="1"/>
  <c r="K1648" i="8" s="1"/>
  <c r="C1655" i="8" s="1"/>
  <c r="E1655" i="8" s="1"/>
  <c r="G1655" i="8" s="1"/>
  <c r="I1655" i="8" s="1"/>
  <c r="K1655" i="8" s="1"/>
  <c r="C1662" i="8" s="1"/>
  <c r="E1662" i="8" s="1"/>
  <c r="G1662" i="8" s="1"/>
  <c r="I1662" i="8" s="1"/>
  <c r="K1662" i="8" s="1"/>
  <c r="C1669" i="8" s="1"/>
  <c r="E1669" i="8" s="1"/>
  <c r="G1669" i="8" s="1"/>
  <c r="I1669" i="8" s="1"/>
  <c r="K1669" i="8" s="1"/>
  <c r="C1676" i="8" s="1"/>
  <c r="E1676" i="8" s="1"/>
  <c r="G1676" i="8" s="1"/>
  <c r="I1676" i="8" s="1"/>
  <c r="K1676" i="8" s="1"/>
  <c r="C1683" i="8" s="1"/>
  <c r="E1683" i="8" s="1"/>
  <c r="G1683" i="8" s="1"/>
  <c r="I1683" i="8" s="1"/>
  <c r="K1683" i="8" s="1"/>
  <c r="C1690" i="8" s="1"/>
  <c r="E1690" i="8" s="1"/>
  <c r="G1690" i="8" s="1"/>
  <c r="I1690" i="8" s="1"/>
  <c r="K1690" i="8" s="1"/>
  <c r="C1697" i="8" s="1"/>
  <c r="E1697" i="8" s="1"/>
  <c r="G1697" i="8" s="1"/>
  <c r="I1697" i="8" s="1"/>
  <c r="K1697" i="8" s="1"/>
  <c r="C1704" i="8" s="1"/>
  <c r="E1704" i="8" s="1"/>
  <c r="G1704" i="8" s="1"/>
  <c r="I1704" i="8" s="1"/>
  <c r="K1704" i="8" s="1"/>
  <c r="C1711" i="8" s="1"/>
  <c r="E1711" i="8" s="1"/>
  <c r="G1711" i="8" s="1"/>
  <c r="I1711" i="8" s="1"/>
  <c r="K1711" i="8" s="1"/>
  <c r="C1718" i="8" s="1"/>
  <c r="E1718" i="8" s="1"/>
  <c r="G1718" i="8" s="1"/>
  <c r="I1718" i="8" s="1"/>
  <c r="K1718" i="8" s="1"/>
  <c r="C1725" i="8" s="1"/>
  <c r="E1725" i="8" s="1"/>
  <c r="G1725" i="8" s="1"/>
  <c r="I1725" i="8" s="1"/>
  <c r="K1725" i="8" s="1"/>
  <c r="C1732" i="8" s="1"/>
  <c r="E1732" i="8" s="1"/>
  <c r="G1732" i="8" s="1"/>
  <c r="I1732" i="8" s="1"/>
  <c r="K1732" i="8" s="1"/>
  <c r="C1739" i="8" s="1"/>
  <c r="E1739" i="8" s="1"/>
  <c r="G1739" i="8" s="1"/>
  <c r="I1739" i="8" s="1"/>
  <c r="K1739" i="8" s="1"/>
  <c r="C1746" i="8" s="1"/>
  <c r="E1746" i="8" s="1"/>
  <c r="G1746" i="8" s="1"/>
  <c r="I1746" i="8" s="1"/>
  <c r="K1746" i="8" s="1"/>
  <c r="C1753" i="8" s="1"/>
  <c r="E1753" i="8" s="1"/>
  <c r="G1753" i="8" s="1"/>
  <c r="I1753" i="8" s="1"/>
  <c r="K1753" i="8" s="1"/>
  <c r="C1760" i="8" s="1"/>
  <c r="E1760" i="8" s="1"/>
  <c r="G1760" i="8" s="1"/>
  <c r="I1760" i="8" s="1"/>
  <c r="K1760" i="8" s="1"/>
  <c r="C1767" i="8" s="1"/>
  <c r="C4" i="3" l="1"/>
  <c r="D4" i="3" s="1"/>
  <c r="D83" i="3" l="1"/>
  <c r="D103" i="3" l="1"/>
  <c r="A4" i="13"/>
  <c r="A5" i="13"/>
  <c r="A6" i="13"/>
  <c r="A7" i="13"/>
  <c r="A8" i="13"/>
  <c r="A10" i="13"/>
  <c r="A13" i="13"/>
  <c r="A14" i="13"/>
  <c r="A15" i="13"/>
  <c r="A16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3" i="12"/>
  <c r="A4" i="12"/>
  <c r="A5" i="12"/>
  <c r="A6" i="12"/>
  <c r="A7" i="12"/>
  <c r="A8" i="12"/>
  <c r="A9" i="12"/>
  <c r="A10" i="12"/>
  <c r="A11" i="12"/>
  <c r="A12" i="12"/>
  <c r="A13" i="12"/>
  <c r="A14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5" i="12"/>
  <c r="A37" i="12"/>
  <c r="A39" i="12"/>
  <c r="A40" i="12"/>
  <c r="A41" i="12"/>
  <c r="A42" i="12"/>
  <c r="A43" i="12"/>
  <c r="A45" i="12"/>
  <c r="A46" i="12"/>
  <c r="A47" i="12"/>
  <c r="A48" i="12"/>
  <c r="A49" i="12"/>
  <c r="A50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9" i="12"/>
  <c r="A70" i="12"/>
  <c r="A71" i="12"/>
  <c r="A72" i="12"/>
  <c r="A73" i="12"/>
  <c r="A74" i="12"/>
  <c r="A75" i="12"/>
  <c r="A76" i="12"/>
  <c r="A77" i="12"/>
  <c r="A78" i="12"/>
  <c r="A79" i="12"/>
  <c r="A80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Hillert</author>
  </authors>
  <commentList>
    <comment ref="E3" authorId="0" shapeId="0" xr:uid="{00000000-0006-0000-0400-000001000000}">
      <text>
        <r>
          <rPr>
            <sz val="9"/>
            <color indexed="81"/>
            <rFont val="Tahoma"/>
            <family val="2"/>
          </rPr>
          <t>RATE:
 $350.00
NOA/Comments:
 $260 if no comments; 
 $390 if comments
Administrative: 
$130</t>
        </r>
      </text>
    </comment>
  </commentList>
</comments>
</file>

<file path=xl/sharedStrings.xml><?xml version="1.0" encoding="utf-8"?>
<sst xmlns="http://schemas.openxmlformats.org/spreadsheetml/2006/main" count="794" uniqueCount="203">
  <si>
    <t>Dec</t>
  </si>
  <si>
    <t>Nov</t>
  </si>
  <si>
    <t>Oct</t>
  </si>
  <si>
    <t>Sept</t>
  </si>
  <si>
    <t>Aug</t>
  </si>
  <si>
    <t>Jul</t>
  </si>
  <si>
    <t>Jun</t>
  </si>
  <si>
    <t>May</t>
  </si>
  <si>
    <t>Apr</t>
  </si>
  <si>
    <t>Mar</t>
  </si>
  <si>
    <t>Feb</t>
  </si>
  <si>
    <t>Jan</t>
  </si>
  <si>
    <t>December, 2017</t>
  </si>
  <si>
    <t>November, 2017</t>
  </si>
  <si>
    <t>. . . . .</t>
  </si>
  <si>
    <t>October  '17</t>
  </si>
  <si>
    <t>September  '17</t>
  </si>
  <si>
    <t>August  '17</t>
  </si>
  <si>
    <t>July  '17</t>
  </si>
  <si>
    <t>June  '17</t>
  </si>
  <si>
    <t>May  '17</t>
  </si>
  <si>
    <t>April  '17</t>
  </si>
  <si>
    <t>March  '17</t>
  </si>
  <si>
    <t>February '17</t>
  </si>
  <si>
    <t>January '17</t>
  </si>
  <si>
    <t>December '16</t>
  </si>
  <si>
    <t>November '16</t>
  </si>
  <si>
    <t>Election Day</t>
  </si>
  <si>
    <t>October '16</t>
  </si>
  <si>
    <t>September '16</t>
  </si>
  <si>
    <t>August '16</t>
  </si>
  <si>
    <t>July '16</t>
  </si>
  <si>
    <t>June '16</t>
  </si>
  <si>
    <t>May '16</t>
  </si>
  <si>
    <t>April '16</t>
  </si>
  <si>
    <t xml:space="preserve"> </t>
  </si>
  <si>
    <t>March '16</t>
  </si>
  <si>
    <t>February '16</t>
  </si>
  <si>
    <t>January '16</t>
  </si>
  <si>
    <t>December '15</t>
  </si>
  <si>
    <t>November '15</t>
  </si>
  <si>
    <t>October '15</t>
  </si>
  <si>
    <t>Independence Day</t>
  </si>
  <si>
    <t>September '15</t>
  </si>
  <si>
    <t>August '15</t>
  </si>
  <si>
    <t>July '15</t>
  </si>
  <si>
    <t>June '15</t>
  </si>
  <si>
    <t>Memorial Day</t>
  </si>
  <si>
    <t>May '15</t>
  </si>
  <si>
    <t>Mother's Day (Sunday)</t>
  </si>
  <si>
    <t>April '15</t>
  </si>
  <si>
    <t>March '15</t>
  </si>
  <si>
    <t xml:space="preserve"> February '15</t>
  </si>
  <si>
    <t>Washington's Birthday</t>
  </si>
  <si>
    <t>Valentine's Day (2/14)</t>
  </si>
  <si>
    <t xml:space="preserve"> January '15</t>
  </si>
  <si>
    <t>Birthday of MLK, Jr.</t>
  </si>
  <si>
    <t>New Year's Eve</t>
  </si>
  <si>
    <t xml:space="preserve"> December '14</t>
  </si>
  <si>
    <t xml:space="preserve"> November '14</t>
  </si>
  <si>
    <t>Veteran's Day</t>
  </si>
  <si>
    <t xml:space="preserve"> October '14</t>
  </si>
  <si>
    <t xml:space="preserve"> September '14</t>
  </si>
  <si>
    <t>Labor Day</t>
  </si>
  <si>
    <t xml:space="preserve"> August '14</t>
  </si>
  <si>
    <t xml:space="preserve"> July '14</t>
  </si>
  <si>
    <t xml:space="preserve"> June '14</t>
  </si>
  <si>
    <t>May '14</t>
  </si>
  <si>
    <t>April '14</t>
  </si>
  <si>
    <t>Good Friday</t>
  </si>
  <si>
    <t>March '14</t>
  </si>
  <si>
    <t>Response to Office Action</t>
  </si>
  <si>
    <t>Response to Communication</t>
  </si>
  <si>
    <t>Utility Patent Application</t>
  </si>
  <si>
    <t>Response Instructions</t>
  </si>
  <si>
    <t xml:space="preserve">Response Instructions </t>
  </si>
  <si>
    <t xml:space="preserve">Preliminary Amendment </t>
  </si>
  <si>
    <t>Appeal Brief</t>
  </si>
  <si>
    <t>Preliminary Amendment</t>
  </si>
  <si>
    <t>Response to Final Office Action</t>
  </si>
  <si>
    <t>Examiner's Amendment</t>
  </si>
  <si>
    <t>Rule 312 Amendment</t>
  </si>
  <si>
    <t xml:space="preserve">Response to Office Action </t>
  </si>
  <si>
    <t>Voluntary Amendments</t>
  </si>
  <si>
    <t>Response to Search Opinion</t>
  </si>
  <si>
    <t>DIV/CON Recommendation</t>
  </si>
  <si>
    <t>National Stage Claims</t>
  </si>
  <si>
    <t>Comments on Statement of Reasons for Allowance</t>
  </si>
  <si>
    <t>Voluntary Amendment Assessment (no amdts required)</t>
  </si>
  <si>
    <t>Other</t>
  </si>
  <si>
    <t>Minor</t>
  </si>
  <si>
    <t>Major</t>
  </si>
  <si>
    <t xml:space="preserve"> Total:</t>
  </si>
  <si>
    <t>Examiner Interview Summary</t>
  </si>
  <si>
    <t>Response to Notice File Corrected Application Papers</t>
  </si>
  <si>
    <t>Prior Art Assessment &amp; Claim Amendments for Request Exam</t>
  </si>
  <si>
    <t>Prior Art Assessment &amp; Voluntary Amendments for Request Exam</t>
  </si>
  <si>
    <t>Hourly</t>
  </si>
  <si>
    <t>Instruct FA re additional search fees (4.1 hours)</t>
  </si>
  <si>
    <t>Article 19 Amendment &amp; Informal Comments</t>
  </si>
  <si>
    <t>Appeal Brief (time 26 hours)</t>
  </si>
  <si>
    <t>December 10, 2016 to January 15, 2016</t>
  </si>
  <si>
    <t>DIV/CON Recommendation Letter</t>
  </si>
  <si>
    <t>DIV/CON Recommendation Letter &amp; Approve Granted Text</t>
  </si>
  <si>
    <t>Prior Art Assessment re whether to file Voluntary Amendments</t>
  </si>
  <si>
    <t>Est.</t>
  </si>
  <si>
    <t>Type</t>
  </si>
  <si>
    <t>January 15, 2016 - February 3, 2016</t>
  </si>
  <si>
    <t xml:space="preserve"> Est.. Total:</t>
  </si>
  <si>
    <t>Prior Art Assessment &amp; Rule 51 Voluntary Amendments</t>
  </si>
  <si>
    <t>March 9, 2016 - April 4, 2016</t>
  </si>
  <si>
    <t>February 4, 2016 - March 9, 2016</t>
  </si>
  <si>
    <t>Notice of Allowance</t>
  </si>
  <si>
    <t>Instructions</t>
  </si>
  <si>
    <t>N/A</t>
  </si>
  <si>
    <t>Pre-Issuance Review</t>
  </si>
  <si>
    <t>Response to Notice to File Corrected Application Papers</t>
  </si>
  <si>
    <t>Pre-Issuance Review (no comments)</t>
  </si>
  <si>
    <t>Time</t>
  </si>
  <si>
    <t>ARCHIVE</t>
  </si>
  <si>
    <t>Response to Restriction Requirement</t>
  </si>
  <si>
    <t>Response to Final Office Action under AFCP 2.0 Program</t>
  </si>
  <si>
    <t>Response After Final</t>
  </si>
  <si>
    <t>Pre-Appeal Brief</t>
  </si>
  <si>
    <t>Amendments and Response Pursuant to RCE</t>
  </si>
  <si>
    <t>———————————————————————————————————————————</t>
  </si>
  <si>
    <t>Voluntary Amendments (Request Exam)</t>
  </si>
  <si>
    <t>Prior Art Assessment (Request Exam)</t>
  </si>
  <si>
    <t>Admin</t>
  </si>
  <si>
    <t>-</t>
  </si>
  <si>
    <t>GreenList</t>
  </si>
  <si>
    <t>Request Exam</t>
  </si>
  <si>
    <t>NOA</t>
  </si>
  <si>
    <t>Agenda</t>
  </si>
  <si>
    <t>Voluntary</t>
  </si>
  <si>
    <t>Reasons for Allowance</t>
  </si>
  <si>
    <t>Comments on Statement</t>
  </si>
  <si>
    <t>RedList</t>
  </si>
  <si>
    <t>Restriction</t>
  </si>
  <si>
    <t>BlueList</t>
  </si>
  <si>
    <t>Response</t>
  </si>
  <si>
    <t>ex Parte Quayle</t>
  </si>
  <si>
    <t>Final</t>
  </si>
  <si>
    <t>]</t>
  </si>
  <si>
    <t>! F596US arrange 2nd interview</t>
  </si>
  <si>
    <t>Examiner Interview</t>
  </si>
  <si>
    <t>Thanksgiving Day</t>
  </si>
  <si>
    <t>Christmas Day</t>
  </si>
  <si>
    <t>New Year's Day</t>
  </si>
  <si>
    <t>Thanksgiving</t>
  </si>
  <si>
    <t>IDS</t>
  </si>
  <si>
    <t>IDS Review</t>
  </si>
  <si>
    <t>January '18</t>
  </si>
  <si>
    <t>Post-Grant Claim Amendments</t>
  </si>
  <si>
    <t>[</t>
  </si>
  <si>
    <t> </t>
  </si>
  <si>
    <t>Σ</t>
  </si>
  <si>
    <r>
      <t>t</t>
    </r>
    <r>
      <rPr>
        <vertAlign val="subscript"/>
        <sz val="9"/>
        <color theme="0"/>
        <rFont val="Leelawadee UI"/>
        <family val="2"/>
      </rPr>
      <t>f</t>
    </r>
  </si>
  <si>
    <r>
      <t>t</t>
    </r>
    <r>
      <rPr>
        <vertAlign val="subscript"/>
        <sz val="9"/>
        <color theme="0"/>
        <rFont val="Leelawadee UI"/>
        <family val="2"/>
      </rPr>
      <t>i</t>
    </r>
  </si>
  <si>
    <t>Matter</t>
  </si>
  <si>
    <t>Description</t>
  </si>
  <si>
    <t>Finish</t>
  </si>
  <si>
    <t>Start</t>
  </si>
  <si>
    <t>Date</t>
  </si>
  <si>
    <t>-------------------------------------------------------------------------------------------------------</t>
  </si>
  <si>
    <t>Issue Fee</t>
  </si>
  <si>
    <t>RedWhiteList</t>
  </si>
  <si>
    <t>!</t>
  </si>
  <si>
    <t/>
  </si>
  <si>
    <t xml:space="preserve">  v</t>
  </si>
  <si>
    <t>August 16, 2018 - August 31, 2018</t>
  </si>
  <si>
    <t>DOCKET</t>
  </si>
  <si>
    <t>D-1243-BG</t>
  </si>
  <si>
    <t>D-1243-CH</t>
  </si>
  <si>
    <t>D-4556-US</t>
  </si>
  <si>
    <t>U-4546-CH</t>
  </si>
  <si>
    <t>U-7839-BG</t>
  </si>
  <si>
    <t>U-7849-US</t>
  </si>
  <si>
    <t>U-1234-US</t>
  </si>
  <si>
    <t>X-1234-US</t>
  </si>
  <si>
    <t>[Narrative of Previously Completed Time Entry]</t>
  </si>
  <si>
    <t>[Narrative of Discarded Incomplete Time Entry]</t>
  </si>
  <si>
    <t>Amendments &amp; Response to Rule 71(3) Communication</t>
  </si>
  <si>
    <r>
      <rPr>
        <b/>
        <sz val="9"/>
        <color rgb="FF2C3D40"/>
        <rFont val="Leelawadee UI"/>
        <family val="2"/>
      </rPr>
      <t xml:space="preserve">[IDS] </t>
    </r>
    <r>
      <rPr>
        <sz val="9"/>
        <color rgb="FF2C3D40"/>
        <rFont val="Leelawadee UI"/>
        <family val="2"/>
      </rPr>
      <t>Boilerplate Narrative for an IDS.</t>
    </r>
  </si>
  <si>
    <t>[NOA | Pre-Issuance Review]    Boilerplate time entry narrative for drafting a Pre-Issuance Review</t>
  </si>
  <si>
    <t>[NOA | Reasons for Allowance]    Boilerplate time entry narrative for drafting a Comment on Statement of Reasons for Allowance</t>
  </si>
  <si>
    <t>[NOA | Rule 312 Amendment]    Boilerplate time entry narrative for drafting a Rule 312 Amendment</t>
  </si>
  <si>
    <t>[PAM | Prelim Amdt]    Boilerplate time entry narrative for drafting a Preliminary Amendment</t>
  </si>
  <si>
    <t>[ROA | First Action]    Boilerplate time entry narrative for drafting a Response to First Office Action</t>
  </si>
  <si>
    <t>[ROA | Final Action]    Boilerplate time entry narrative for drafting a Response to Final Office Action</t>
  </si>
  <si>
    <t>[ROA | Non-Final]    Boilerplate time entry narrative for drafting a Response to Non-Final Office Action</t>
  </si>
  <si>
    <t>[RRR | Election of Species]    Boilerplate time entry narrative for drafting a Response to Election of Species Requirement</t>
  </si>
  <si>
    <t>[RRR | Restriction Requirement]    Boilerplate time entry narrative for drafting a Response to Restriction Requirement</t>
  </si>
  <si>
    <t>[CNI | Instructions]    Boilerplate time entry narrative for drafting prosecution instructions to foreign associate</t>
  </si>
  <si>
    <t>[JPI | Instructions]    Boilerplate time entry narrative for drafting prosecution instructions to foreign associate</t>
  </si>
  <si>
    <t>[NAT | Voluntary Amendment]    Boilerplate time entry narrative for drafting a Voluntary Amendment</t>
  </si>
  <si>
    <t>[NOA-CN | Pre-Issuance Review]    Boilerplate time entry narrative for drafting a Pre-Issuance Review</t>
  </si>
  <si>
    <t>[NOA-JP | Pre-Issuance Review]    Boilerplate time entry narrative for drafting a Pre-Issuance Review</t>
  </si>
  <si>
    <t>[NOA-TW | Pre-Issuance Review]    Boilerplate time entry narrative for drafting a Pre-Issuance Review</t>
  </si>
  <si>
    <t>[REQ-CC | Prior Art Assessment]    Boilerplate time entry narrative for drafting a Prior Art Assessment</t>
  </si>
  <si>
    <t>[REQ-CN | Prior Art Assessment]    Boilerplate time entry narrative for drafting a Prior Art Assessment</t>
  </si>
  <si>
    <t>[REQ-CC | Voluntary Amendment]    Boilerplate time entry narrative for drafting a Voluntary Amendment</t>
  </si>
  <si>
    <t>[REQ-CN | Voluntary Amendment]    Boilerplate time entry narrative for drafting a Voluntary Amendment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</si>
</sst>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mmmm\ yy"/>
    <numFmt numFmtId="166" formatCode="d"/>
    <numFmt numFmtId="167" formatCode="hh:mm;@"/>
    <numFmt numFmtId="168" formatCode="&quot;$&quot;#,##0;[Red]&quot;$&quot;#,##0"/>
    <numFmt numFmtId="169" formatCode="0.0"/>
    <numFmt numFmtId="171" formatCode="mm/dd"/>
  </numFmts>
  <fonts count="1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Verdana"/>
      <family val="2"/>
    </font>
    <font>
      <sz val="10"/>
      <color theme="1"/>
      <name val="Leelawadee UI"/>
      <family val="2"/>
    </font>
    <font>
      <sz val="12"/>
      <color rgb="FFFF6D6D"/>
      <name val="Verdana"/>
      <family val="2"/>
    </font>
    <font>
      <b/>
      <sz val="18"/>
      <color theme="0"/>
      <name val="Arial Rounded MT Bold"/>
      <family val="2"/>
    </font>
    <font>
      <sz val="14"/>
      <color theme="1"/>
      <name val="Verdana"/>
      <family val="2"/>
    </font>
    <font>
      <sz val="14"/>
      <color theme="1"/>
      <name val="Calibri"/>
      <family val="2"/>
      <scheme val="minor"/>
    </font>
    <font>
      <sz val="10"/>
      <name val="Verdana"/>
      <family val="2"/>
    </font>
    <font>
      <b/>
      <sz val="18"/>
      <color theme="1" tint="4.9989318521683403E-2"/>
      <name val="Arial Rounded MT Bold"/>
      <family val="2"/>
    </font>
    <font>
      <sz val="18"/>
      <color theme="0"/>
      <name val="Arial Rounded MT Bold"/>
      <family val="2"/>
    </font>
    <font>
      <b/>
      <sz val="18"/>
      <color rgb="FFC00000"/>
      <name val="Arial Rounded MT Bold"/>
      <family val="2"/>
    </font>
    <font>
      <sz val="11"/>
      <color theme="1"/>
      <name val="Wingdings"/>
      <charset val="2"/>
    </font>
    <font>
      <u/>
      <sz val="11"/>
      <color theme="10"/>
      <name val="Calibri"/>
      <family val="2"/>
      <scheme val="minor"/>
    </font>
    <font>
      <b/>
      <sz val="18"/>
      <color theme="0"/>
      <name val="Verdana"/>
      <family val="2"/>
    </font>
    <font>
      <b/>
      <sz val="18"/>
      <color rgb="FF002060"/>
      <name val="Verdana"/>
      <family val="2"/>
    </font>
    <font>
      <b/>
      <sz val="18"/>
      <color rgb="FFDDEBF7"/>
      <name val="Verdana"/>
      <family val="2"/>
    </font>
    <font>
      <u/>
      <sz val="11"/>
      <color rgb="FF6DD9FF"/>
      <name val="Arial"/>
      <family val="2"/>
    </font>
    <font>
      <sz val="11"/>
      <color rgb="FFFF8181"/>
      <name val="Arial"/>
      <family val="2"/>
    </font>
    <font>
      <sz val="10"/>
      <color theme="7"/>
      <name val="Leelawadee UI"/>
      <family val="2"/>
    </font>
    <font>
      <u/>
      <sz val="11"/>
      <color theme="7"/>
      <name val="Arial"/>
      <family val="2"/>
    </font>
    <font>
      <sz val="11"/>
      <color theme="0"/>
      <name val="Wingdings"/>
      <charset val="2"/>
    </font>
    <font>
      <sz val="11"/>
      <color theme="4" tint="0.79998168889431442"/>
      <name val="Verdana"/>
      <family val="2"/>
    </font>
    <font>
      <b/>
      <sz val="10"/>
      <color theme="0"/>
      <name val="Leelawadee UI"/>
      <family val="2"/>
    </font>
    <font>
      <sz val="9"/>
      <color indexed="81"/>
      <name val="Tahoma"/>
      <family val="2"/>
    </font>
    <font>
      <sz val="10"/>
      <color theme="2" tint="-0.749992370372631"/>
      <name val="Wingdings 3"/>
      <family val="1"/>
      <charset val="2"/>
    </font>
    <font>
      <sz val="11"/>
      <color theme="4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theme="1"/>
      <name val="Leelawadee UI"/>
      <family val="2"/>
    </font>
    <font>
      <b/>
      <sz val="18"/>
      <color rgb="FFFFEFEF"/>
      <name val="Arial Rounded MT Bold"/>
      <family val="2"/>
    </font>
    <font>
      <b/>
      <sz val="18"/>
      <color theme="5" tint="0.79998168889431442"/>
      <name val="Arial Rounded MT Bold"/>
      <family val="2"/>
    </font>
    <font>
      <b/>
      <sz val="18"/>
      <color theme="7" tint="0.79998168889431442"/>
      <name val="Arial Rounded MT Bold"/>
      <family val="2"/>
    </font>
    <font>
      <b/>
      <sz val="18"/>
      <color theme="9" tint="0.79998168889431442"/>
      <name val="Arial Rounded MT Bold"/>
      <family val="2"/>
    </font>
    <font>
      <sz val="18"/>
      <color theme="1" tint="4.9989318521683403E-2"/>
      <name val="Arial Rounded MT Bold"/>
      <family val="2"/>
    </font>
    <font>
      <sz val="10"/>
      <color theme="1"/>
      <name val="Gadugi"/>
      <family val="2"/>
    </font>
    <font>
      <sz val="10"/>
      <color theme="7"/>
      <name val="Gadugi"/>
      <family val="2"/>
    </font>
    <font>
      <sz val="9"/>
      <color theme="1"/>
      <name val="Leelawadee UI"/>
      <family val="2"/>
    </font>
    <font>
      <sz val="9"/>
      <color theme="0" tint="-0.499984740745262"/>
      <name val="Leelawadee UI"/>
      <family val="2"/>
    </font>
    <font>
      <b/>
      <sz val="9"/>
      <color theme="0"/>
      <name val="Leelawadee UI"/>
      <family val="2"/>
    </font>
    <font>
      <sz val="9"/>
      <color theme="0"/>
      <name val="Leelawadee UI"/>
      <family val="2"/>
    </font>
    <font>
      <vertAlign val="subscript"/>
      <sz val="9"/>
      <color theme="0"/>
      <name val="Leelawadee UI"/>
      <family val="2"/>
    </font>
    <font>
      <sz val="11"/>
      <color theme="1"/>
      <name val="Gadugi"/>
      <family val="2"/>
    </font>
    <font>
      <sz val="11"/>
      <color theme="7"/>
      <name val="Gadugi"/>
      <family val="2"/>
    </font>
    <font>
      <sz val="10"/>
      <color theme="0"/>
      <name val="Leelawadee UI"/>
      <family val="2"/>
    </font>
    <font>
      <sz val="10"/>
      <color rgb="FF860000"/>
      <name val="Segoe UI"/>
      <family val="2"/>
    </font>
    <font>
      <sz val="9"/>
      <color rgb="FF2C3D40"/>
      <name val="Leelawadee UI"/>
      <family val="2"/>
    </font>
    <font>
      <b/>
      <sz val="9"/>
      <color rgb="FF2C3D40"/>
      <name val="Leelawadee UI"/>
      <family val="2"/>
    </font>
    <font>
      <sz val="11"/>
      <color theme="0"/>
      <name val="Leelawadee UI"/>
      <family val="2"/>
    </font>
    <font>
      <sz val="8"/>
      <color theme="0"/>
      <name val="Arial Nova"/>
      <family val="2"/>
    </font>
    <font>
      <b/>
      <sz val="8"/>
      <color theme="0"/>
      <name val="Arial Nova"/>
      <family val="2"/>
    </font>
    <font>
      <sz val="8"/>
      <name val="Arial Nova"/>
      <family val="2"/>
    </font>
    <font>
      <sz val="8"/>
      <color theme="0" tint="-0.499984740745262"/>
      <name val="Arial Nova"/>
      <family val="2"/>
    </font>
    <font>
      <sz val="8"/>
      <color theme="1"/>
      <name val="Arial Nova"/>
      <family val="2"/>
    </font>
    <font>
      <sz val="8"/>
      <color theme="7"/>
      <name val="Arial Nova"/>
      <family val="2"/>
    </font>
    <font>
      <sz val="8"/>
      <color rgb="FF00B0F0"/>
      <name val="Arial Nova"/>
      <family val="2"/>
    </font>
    <font>
      <b/>
      <sz val="18"/>
      <color theme="0"/>
      <name val="Arial Nova"/>
      <family val="2"/>
    </font>
    <font>
      <sz val="10"/>
      <color theme="1"/>
      <name val="Arial Nova"/>
      <family val="2"/>
    </font>
    <font>
      <b/>
      <sz val="10"/>
      <color rgb="FFFFFF00"/>
      <name val="Arial Nova"/>
      <family val="2"/>
    </font>
    <font>
      <b/>
      <sz val="10"/>
      <name val="Arial Nova"/>
      <family val="2"/>
    </font>
    <font>
      <sz val="10"/>
      <name val="Arial Nova"/>
      <family val="2"/>
    </font>
    <font>
      <sz val="10"/>
      <color rgb="FFFF0000"/>
      <name val="Arial Nova"/>
      <family val="2"/>
    </font>
    <font>
      <b/>
      <sz val="10"/>
      <color rgb="FF0000FF"/>
      <name val="Arial Nova"/>
      <family val="2"/>
    </font>
    <font>
      <sz val="10"/>
      <color theme="10"/>
      <name val="Arial Nova"/>
      <family val="2"/>
    </font>
    <font>
      <sz val="10"/>
      <color rgb="FFFFFF00"/>
      <name val="Arial Nova"/>
      <family val="2"/>
    </font>
    <font>
      <i/>
      <sz val="10"/>
      <name val="Arial Nova"/>
      <family val="2"/>
    </font>
    <font>
      <u/>
      <sz val="10"/>
      <name val="Arial Nova"/>
      <family val="2"/>
    </font>
    <font>
      <strike/>
      <sz val="10"/>
      <name val="Arial Nova"/>
      <family val="2"/>
    </font>
    <font>
      <sz val="10"/>
      <color rgb="FF0000FF"/>
      <name val="Arial Nova"/>
      <family val="2"/>
    </font>
    <font>
      <sz val="10"/>
      <color theme="7"/>
      <name val="Arial Nova"/>
      <family val="2"/>
    </font>
    <font>
      <sz val="10"/>
      <color rgb="FF00B050"/>
      <name val="Arial Nova"/>
      <family val="2"/>
    </font>
    <font>
      <b/>
      <u/>
      <sz val="10"/>
      <color rgb="FFFF0000"/>
      <name val="Arial Nova"/>
      <family val="2"/>
    </font>
    <font>
      <b/>
      <u/>
      <sz val="10"/>
      <name val="Arial Nova"/>
      <family val="2"/>
    </font>
    <font>
      <sz val="10"/>
      <color rgb="FFEC7524"/>
      <name val="Arial Nova"/>
      <family val="2"/>
    </font>
    <font>
      <b/>
      <sz val="10"/>
      <color theme="7"/>
      <name val="Arial Nova"/>
      <family val="2"/>
    </font>
    <font>
      <sz val="10"/>
      <color rgb="FFFF6D6D"/>
      <name val="Arial Nova"/>
      <family val="2"/>
    </font>
    <font>
      <sz val="10"/>
      <color theme="4" tint="-0.499984740745262"/>
      <name val="Arial Nova"/>
      <family val="2"/>
    </font>
    <font>
      <sz val="10"/>
      <color theme="0"/>
      <name val="Arial Nova"/>
      <family val="2"/>
    </font>
    <font>
      <sz val="10"/>
      <color rgb="FFFFFF00"/>
      <name val="Wingdings 3"/>
      <family val="1"/>
      <charset val="2"/>
    </font>
    <font>
      <sz val="10"/>
      <color theme="2" tint="-0.749992370372631"/>
      <name val="Arial Nova"/>
      <family val="2"/>
    </font>
    <font>
      <i/>
      <sz val="10"/>
      <color theme="0"/>
      <name val="Arial Nova"/>
      <family val="2"/>
    </font>
    <font>
      <sz val="10"/>
      <color rgb="FF7A5A00"/>
      <name val="Arial Nova"/>
      <family val="2"/>
    </font>
    <font>
      <sz val="8"/>
      <color theme="1" tint="0.14999847407452621"/>
      <name val="Arial Nova"/>
      <family val="2"/>
    </font>
    <font>
      <sz val="11"/>
      <color theme="7" tint="0.59999389629810485"/>
      <name val="Arial Nova"/>
      <family val="2"/>
    </font>
    <font>
      <i/>
      <sz val="10"/>
      <color theme="1"/>
      <name val="Arial Nova"/>
      <family val="2"/>
    </font>
    <font>
      <i/>
      <sz val="10"/>
      <color theme="7" tint="-0.499984740745262"/>
      <name val="Arial Nova"/>
      <family val="2"/>
    </font>
    <font>
      <sz val="10"/>
      <color theme="7" tint="-0.499984740745262"/>
      <name val="Arial Nova"/>
      <family val="2"/>
    </font>
    <font>
      <sz val="10"/>
      <color rgb="FF765700"/>
      <name val="Arial Nova"/>
      <family val="2"/>
    </font>
    <font>
      <sz val="10"/>
      <color rgb="FF001642"/>
      <name val="Arial Nova"/>
      <family val="2"/>
    </font>
    <font>
      <i/>
      <sz val="10"/>
      <color theme="4" tint="-0.499984740745262"/>
      <name val="Arial Nova"/>
      <family val="2"/>
    </font>
    <font>
      <i/>
      <sz val="10"/>
      <color theme="0"/>
      <name val="Arial Nova Light"/>
      <family val="2"/>
    </font>
    <font>
      <i/>
      <sz val="10"/>
      <color rgb="FFFFFF00"/>
      <name val="Arial Nova Light"/>
      <family val="2"/>
    </font>
    <font>
      <sz val="6"/>
      <color theme="1"/>
      <name val="Arial Nova"/>
      <family val="2"/>
    </font>
    <font>
      <i/>
      <sz val="8"/>
      <color rgb="FFC00000"/>
      <name val="Arial Nova"/>
      <family val="2"/>
    </font>
    <font>
      <sz val="9.5"/>
      <name val="Arial Nova"/>
      <family val="2"/>
    </font>
    <font>
      <sz val="9.5"/>
      <color rgb="FFFF0000"/>
      <name val="Arial Nova"/>
      <family val="2"/>
    </font>
    <font>
      <sz val="9.5"/>
      <name val="Leelawadee UI"/>
      <family val="2"/>
    </font>
    <font>
      <b/>
      <sz val="9.5"/>
      <color theme="0"/>
      <name val="Arial Nova"/>
      <family val="2"/>
    </font>
    <font>
      <b/>
      <sz val="9.5"/>
      <color theme="1"/>
      <name val="Arial Nova"/>
      <family val="2"/>
    </font>
    <font>
      <sz val="9.5"/>
      <color theme="1"/>
      <name val="Arial Nova"/>
      <family val="2"/>
    </font>
    <font>
      <sz val="9.5"/>
      <color theme="1"/>
      <name val="Leelawadee UI"/>
      <family val="2"/>
    </font>
    <font>
      <b/>
      <sz val="9.5"/>
      <color rgb="FFFFFF00"/>
      <name val="Arial Nova"/>
      <family val="2"/>
    </font>
    <font>
      <b/>
      <sz val="9.5"/>
      <name val="Arial Nova"/>
      <family val="2"/>
    </font>
    <font>
      <sz val="9.5"/>
      <color theme="4" tint="-0.499984740745262"/>
      <name val="Leelawadee UI"/>
      <family val="2"/>
    </font>
    <font>
      <i/>
      <sz val="9.5"/>
      <color rgb="FFC00000"/>
      <name val="Arial Nova"/>
      <family val="2"/>
    </font>
    <font>
      <b/>
      <sz val="9.5"/>
      <color rgb="FF0000FF"/>
      <name val="Arial Nova"/>
      <family val="2"/>
    </font>
    <font>
      <sz val="9.5"/>
      <color theme="10"/>
      <name val="Arial Nova"/>
      <family val="2"/>
    </font>
    <font>
      <sz val="9.5"/>
      <color rgb="FFFFFF00"/>
      <name val="Arial Nova"/>
      <family val="2"/>
    </font>
    <font>
      <i/>
      <sz val="9.5"/>
      <name val="Arial Nova"/>
      <family val="2"/>
    </font>
    <font>
      <u/>
      <sz val="9.5"/>
      <color theme="10"/>
      <name val="Arial Nova"/>
      <family val="2"/>
    </font>
    <font>
      <u/>
      <sz val="9.5"/>
      <name val="Arial Nova"/>
      <family val="2"/>
    </font>
    <font>
      <strike/>
      <sz val="9.5"/>
      <name val="Arial Nova"/>
      <family val="2"/>
    </font>
    <font>
      <sz val="9.5"/>
      <color rgb="FF0070C0"/>
      <name val="Leelawadee UI"/>
      <family val="2"/>
    </font>
    <font>
      <sz val="9.5"/>
      <color rgb="FF0000FF"/>
      <name val="Arial Nova"/>
      <family val="2"/>
    </font>
    <font>
      <sz val="9.5"/>
      <color rgb="FFFF8181"/>
      <name val="Leelawadee UI"/>
      <family val="2"/>
    </font>
    <font>
      <sz val="9.5"/>
      <color theme="7"/>
      <name val="Arial Nova"/>
      <family val="2"/>
    </font>
    <font>
      <sz val="9.5"/>
      <color theme="7"/>
      <name val="Leelawadee UI"/>
      <family val="2"/>
    </font>
    <font>
      <sz val="9.5"/>
      <color rgb="FF000000"/>
      <name val="Arial Nova"/>
      <family val="2"/>
    </font>
    <font>
      <sz val="9.5"/>
      <color rgb="FF6DD9FF"/>
      <name val="Leelawadee UI"/>
      <family val="2"/>
    </font>
    <font>
      <sz val="9.5"/>
      <color theme="5" tint="-0.499984740745262"/>
      <name val="Arial Nova"/>
      <family val="2"/>
    </font>
    <font>
      <sz val="9.5"/>
      <color rgb="FF00B050"/>
      <name val="Arial Nova"/>
      <family val="2"/>
    </font>
    <font>
      <i/>
      <u/>
      <sz val="9.5"/>
      <color rgb="FFC00000"/>
      <name val="Arial Nova"/>
      <family val="2"/>
    </font>
    <font>
      <i/>
      <u/>
      <sz val="9.5"/>
      <name val="Arial Nova"/>
      <family val="2"/>
    </font>
    <font>
      <sz val="9.5"/>
      <color rgb="FFEC7524"/>
      <name val="Arial Nova"/>
      <family val="2"/>
    </font>
    <font>
      <i/>
      <sz val="9.5"/>
      <color rgb="FFC00000"/>
      <name val="Nirmala UI"/>
      <family val="2"/>
    </font>
    <font>
      <b/>
      <sz val="9.5"/>
      <color theme="7"/>
      <name val="Arial Nova"/>
      <family val="2"/>
    </font>
    <font>
      <i/>
      <sz val="9.5"/>
      <color rgb="FF00B0F0"/>
      <name val="Arial Nova"/>
      <family val="2"/>
    </font>
    <font>
      <sz val="9.5"/>
      <color rgb="FF00CC00"/>
      <name val="Arial Nova"/>
      <family val="2"/>
    </font>
    <font>
      <sz val="9.5"/>
      <color rgb="FFFF6D6D"/>
      <name val="Arial Nova"/>
      <family val="2"/>
    </font>
    <font>
      <sz val="9.5"/>
      <color rgb="FF6DD9FF"/>
      <name val="Arial Nova"/>
      <family val="2"/>
    </font>
    <font>
      <sz val="9.5"/>
      <color theme="9" tint="-0.499984740745262"/>
      <name val="Arial Nova"/>
      <family val="2"/>
    </font>
    <font>
      <sz val="9.5"/>
      <color rgb="FFB5D8A0"/>
      <name val="Arial Nova"/>
      <family val="2"/>
    </font>
    <font>
      <sz val="9.5"/>
      <color rgb="FFC00000"/>
      <name val="Arial Nova"/>
      <family val="2"/>
    </font>
    <font>
      <sz val="9.5"/>
      <color rgb="FFFFD5D5"/>
      <name val="Arial Nova"/>
      <family val="2"/>
    </font>
    <font>
      <sz val="9.5"/>
      <color theme="4" tint="-0.499984740745262"/>
      <name val="Arial Nova"/>
      <family val="2"/>
    </font>
    <font>
      <sz val="9.5"/>
      <color theme="8" tint="0.79998168889431442"/>
      <name val="Arial Nova"/>
      <family val="2"/>
    </font>
    <font>
      <sz val="9.5"/>
      <color theme="0"/>
      <name val="Arial Nova"/>
      <family val="2"/>
    </font>
    <font>
      <b/>
      <sz val="6"/>
      <color rgb="FFFFD03B"/>
      <name val="Arial Nova"/>
      <family val="2"/>
    </font>
    <font>
      <sz val="10"/>
      <name val="Gadugi"/>
      <family val="2"/>
    </font>
  </fonts>
  <fills count="4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97481"/>
        <bgColor indexed="64"/>
      </patternFill>
    </fill>
    <fill>
      <patternFill patternType="solid">
        <fgColor rgb="FFF6ECE2"/>
        <bgColor indexed="64"/>
      </patternFill>
    </fill>
    <fill>
      <patternFill patternType="solid">
        <fgColor rgb="FF897D65"/>
        <bgColor indexed="64"/>
      </patternFill>
    </fill>
    <fill>
      <patternFill patternType="solid">
        <fgColor rgb="FFFFEFEF"/>
        <bgColor indexed="64"/>
      </patternFill>
    </fill>
    <fill>
      <patternFill patternType="solid">
        <fgColor rgb="FF68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5911"/>
        <bgColor indexed="64"/>
      </patternFill>
    </fill>
    <fill>
      <patternFill patternType="solid">
        <fgColor rgb="FFFFE8C5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EFFFF7"/>
        <bgColor indexed="64"/>
      </patternFill>
    </fill>
    <fill>
      <patternFill patternType="solid">
        <fgColor rgb="FFFFFFEF"/>
        <bgColor indexed="64"/>
      </patternFill>
    </fill>
    <fill>
      <patternFill patternType="solid">
        <fgColor rgb="FFBD92DE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364354"/>
        <bgColor indexed="64"/>
      </patternFill>
    </fill>
    <fill>
      <patternFill patternType="solid">
        <fgColor rgb="FF576C87"/>
        <bgColor indexed="64"/>
      </patternFill>
    </fill>
    <fill>
      <patternFill patternType="solid">
        <fgColor rgb="FF5841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D5D5"/>
        <bgColor indexed="64"/>
      </patternFill>
    </fill>
    <fill>
      <patternFill patternType="solid">
        <fgColor rgb="FFB5D8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375623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D9F5FF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BFB8A9"/>
        <bgColor indexed="64"/>
      </patternFill>
    </fill>
    <fill>
      <patternFill patternType="solid">
        <fgColor rgb="FF786D58"/>
        <bgColor indexed="64"/>
      </patternFill>
    </fill>
    <fill>
      <patternFill patternType="solid">
        <fgColor rgb="FF860000"/>
        <bgColor indexed="64"/>
      </patternFill>
    </fill>
    <fill>
      <patternFill patternType="darkDown">
        <fgColor rgb="FFC5F4FF"/>
        <bgColor theme="6" tint="0.59996337778862885"/>
      </patternFill>
    </fill>
  </fills>
  <borders count="3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59996337778862885"/>
      </left>
      <right style="medium">
        <color theme="0" tint="-0.499984740745262"/>
      </right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 style="thin">
        <color indexed="64"/>
      </left>
      <right/>
      <top style="medium">
        <color theme="0" tint="-0.499984740745262"/>
      </top>
      <bottom/>
      <diagonal/>
    </border>
    <border>
      <left style="medium">
        <color rgb="FF999999"/>
      </left>
      <right/>
      <top/>
      <bottom/>
      <diagonal/>
    </border>
    <border>
      <left/>
      <right style="medium">
        <color rgb="FF999999"/>
      </right>
      <top/>
      <bottom/>
      <diagonal/>
    </border>
    <border>
      <left/>
      <right/>
      <top/>
      <bottom style="thin">
        <color rgb="FF547E75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ck">
        <color rgb="FF262626"/>
      </left>
      <right/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4" tint="0.59996337778862885"/>
      </left>
      <right/>
      <top style="medium">
        <color rgb="FF8A0000"/>
      </top>
      <bottom/>
      <diagonal/>
    </border>
    <border>
      <left style="thin">
        <color indexed="64"/>
      </left>
      <right/>
      <top style="medium">
        <color rgb="FF8A0000"/>
      </top>
      <bottom/>
      <diagonal/>
    </border>
    <border>
      <left style="thin">
        <color indexed="64"/>
      </left>
      <right style="thin">
        <color indexed="64"/>
      </right>
      <top style="medium">
        <color rgb="FF8A0000"/>
      </top>
      <bottom/>
      <diagonal/>
    </border>
    <border>
      <left style="thin">
        <color theme="0" tint="-0.34998626667073579"/>
      </left>
      <right style="thin">
        <color indexed="64"/>
      </right>
      <top style="medium">
        <color rgb="FF8A0000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4" tint="0.59996337778862885"/>
      </left>
      <right/>
      <top/>
      <bottom/>
      <diagonal/>
    </border>
    <border>
      <left style="thin">
        <color theme="4" tint="0.59996337778862885"/>
      </left>
      <right style="thin">
        <color indexed="64"/>
      </right>
      <top/>
      <bottom/>
      <diagonal/>
    </border>
    <border>
      <left style="thin">
        <color theme="0" tint="-0.34998626667073579"/>
      </left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541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shrinkToFit="1"/>
    </xf>
    <xf numFmtId="0" fontId="5" fillId="2" borderId="0" xfId="0" quotePrefix="1" applyNumberFormat="1" applyFont="1" applyFill="1" applyBorder="1" applyAlignment="1">
      <alignment horizontal="right" vertical="top" wrapText="1"/>
    </xf>
    <xf numFmtId="0" fontId="7" fillId="2" borderId="0" xfId="0" applyFont="1" applyFill="1" applyBorder="1" applyAlignment="1">
      <alignment shrinkToFit="1"/>
    </xf>
    <xf numFmtId="0" fontId="3" fillId="2" borderId="0" xfId="0" applyFont="1" applyFill="1" applyBorder="1" applyAlignment="1">
      <alignment horizontal="center" shrinkToFit="1"/>
    </xf>
    <xf numFmtId="0" fontId="3" fillId="2" borderId="0" xfId="0" applyFont="1" applyFill="1"/>
    <xf numFmtId="0" fontId="3" fillId="2" borderId="2" xfId="0" applyFont="1" applyFill="1" applyBorder="1"/>
    <xf numFmtId="49" fontId="18" fillId="2" borderId="0" xfId="0" quotePrefix="1" applyNumberFormat="1" applyFont="1" applyFill="1" applyBorder="1" applyAlignment="1">
      <alignment vertical="center"/>
    </xf>
    <xf numFmtId="49" fontId="19" fillId="2" borderId="0" xfId="0" quotePrefix="1" applyNumberFormat="1" applyFont="1" applyFill="1" applyBorder="1" applyAlignment="1">
      <alignment vertical="center"/>
    </xf>
    <xf numFmtId="49" fontId="21" fillId="2" borderId="0" xfId="0" quotePrefix="1" applyNumberFormat="1" applyFont="1" applyFill="1" applyBorder="1" applyAlignment="1">
      <alignment vertical="top"/>
    </xf>
    <xf numFmtId="0" fontId="3" fillId="22" borderId="2" xfId="0" quotePrefix="1" applyFont="1" applyFill="1" applyBorder="1" applyAlignment="1">
      <alignment horizontal="center" shrinkToFit="1"/>
    </xf>
    <xf numFmtId="0" fontId="23" fillId="2" borderId="2" xfId="0" applyFont="1" applyFill="1" applyBorder="1"/>
    <xf numFmtId="0" fontId="0" fillId="23" borderId="0" xfId="0" applyFont="1" applyFill="1" applyBorder="1"/>
    <xf numFmtId="0" fontId="2" fillId="23" borderId="0" xfId="0" applyFont="1" applyFill="1" applyBorder="1" applyAlignment="1">
      <alignment horizontal="left"/>
    </xf>
    <xf numFmtId="0" fontId="2" fillId="23" borderId="0" xfId="0" applyFont="1" applyFill="1" applyBorder="1"/>
    <xf numFmtId="0" fontId="26" fillId="23" borderId="17" xfId="0" applyFont="1" applyFill="1" applyBorder="1" applyAlignment="1">
      <alignment horizontal="center" vertical="center"/>
    </xf>
    <xf numFmtId="0" fontId="27" fillId="23" borderId="0" xfId="0" applyFont="1" applyFill="1" applyBorder="1"/>
    <xf numFmtId="0" fontId="28" fillId="23" borderId="0" xfId="0" applyFont="1" applyFill="1" applyBorder="1"/>
    <xf numFmtId="0" fontId="28" fillId="23" borderId="0" xfId="0" applyNumberFormat="1" applyFont="1" applyFill="1" applyBorder="1"/>
    <xf numFmtId="0" fontId="28" fillId="23" borderId="0" xfId="0" applyNumberFormat="1" applyFont="1" applyFill="1" applyBorder="1" applyAlignment="1">
      <alignment horizontal="left"/>
    </xf>
    <xf numFmtId="0" fontId="29" fillId="23" borderId="0" xfId="0" applyFont="1" applyFill="1" applyBorder="1" applyAlignment="1">
      <alignment horizontal="left"/>
    </xf>
    <xf numFmtId="0" fontId="30" fillId="23" borderId="0" xfId="0" applyFont="1" applyFill="1" applyBorder="1"/>
    <xf numFmtId="0" fontId="31" fillId="23" borderId="0" xfId="0" applyFont="1" applyFill="1"/>
    <xf numFmtId="0" fontId="28" fillId="23" borderId="0" xfId="0" applyFont="1" applyFill="1"/>
    <xf numFmtId="0" fontId="28" fillId="23" borderId="0" xfId="0" applyNumberFormat="1" applyFont="1" applyFill="1"/>
    <xf numFmtId="0" fontId="28" fillId="23" borderId="0" xfId="0" applyNumberFormat="1" applyFont="1" applyFill="1" applyAlignment="1">
      <alignment horizontal="left"/>
    </xf>
    <xf numFmtId="8" fontId="28" fillId="23" borderId="0" xfId="0" applyNumberFormat="1" applyFont="1" applyFill="1" applyBorder="1" applyAlignment="1">
      <alignment horizontal="left"/>
    </xf>
    <xf numFmtId="0" fontId="32" fillId="2" borderId="0" xfId="0" applyFont="1" applyFill="1"/>
    <xf numFmtId="0" fontId="32" fillId="2" borderId="0" xfId="0" applyFont="1" applyFill="1" applyBorder="1"/>
    <xf numFmtId="0" fontId="32" fillId="2" borderId="0" xfId="0" applyFont="1" applyFill="1" applyBorder="1" applyAlignment="1">
      <alignment horizontal="center"/>
    </xf>
    <xf numFmtId="49" fontId="5" fillId="2" borderId="0" xfId="0" quotePrefix="1" applyNumberFormat="1" applyFont="1" applyFill="1" applyBorder="1" applyAlignment="1">
      <alignment horizontal="left" vertical="top" wrapText="1"/>
    </xf>
    <xf numFmtId="0" fontId="0" fillId="2" borderId="0" xfId="0" applyFont="1" applyFill="1" applyAlignment="1">
      <alignment shrinkToFit="1"/>
    </xf>
    <xf numFmtId="0" fontId="2" fillId="2" borderId="0" xfId="0" applyFont="1" applyFill="1" applyAlignment="1">
      <alignment shrinkToFit="1"/>
    </xf>
    <xf numFmtId="0" fontId="22" fillId="2" borderId="0" xfId="0" applyFont="1" applyFill="1" applyAlignment="1">
      <alignment shrinkToFit="1"/>
    </xf>
    <xf numFmtId="0" fontId="13" fillId="2" borderId="0" xfId="0" applyFont="1" applyFill="1" applyAlignment="1">
      <alignment shrinkToFit="1"/>
    </xf>
    <xf numFmtId="0" fontId="33" fillId="2" borderId="0" xfId="0" applyFont="1" applyFill="1" applyAlignment="1">
      <alignment shrinkToFit="1"/>
    </xf>
    <xf numFmtId="0" fontId="0" fillId="2" borderId="0" xfId="0" applyFont="1" applyFill="1" applyBorder="1" applyAlignment="1">
      <alignment shrinkToFit="1"/>
    </xf>
    <xf numFmtId="0" fontId="8" fillId="2" borderId="0" xfId="0" applyFont="1" applyFill="1" applyBorder="1" applyAlignment="1">
      <alignment shrinkToFit="1"/>
    </xf>
    <xf numFmtId="165" fontId="15" fillId="21" borderId="10" xfId="0" quotePrefix="1" applyNumberFormat="1" applyFont="1" applyFill="1" applyBorder="1" applyAlignment="1">
      <alignment textRotation="90" shrinkToFit="1"/>
    </xf>
    <xf numFmtId="165" fontId="15" fillId="21" borderId="6" xfId="0" quotePrefix="1" applyNumberFormat="1" applyFont="1" applyFill="1" applyBorder="1" applyAlignment="1">
      <alignment textRotation="90" shrinkToFit="1"/>
    </xf>
    <xf numFmtId="165" fontId="15" fillId="19" borderId="10" xfId="0" quotePrefix="1" applyNumberFormat="1" applyFont="1" applyFill="1" applyBorder="1" applyAlignment="1">
      <alignment textRotation="90" shrinkToFit="1"/>
    </xf>
    <xf numFmtId="165" fontId="15" fillId="19" borderId="6" xfId="0" quotePrefix="1" applyNumberFormat="1" applyFont="1" applyFill="1" applyBorder="1" applyAlignment="1">
      <alignment textRotation="90" shrinkToFit="1"/>
    </xf>
    <xf numFmtId="165" fontId="17" fillId="19" borderId="6" xfId="0" quotePrefix="1" applyNumberFormat="1" applyFont="1" applyFill="1" applyBorder="1" applyAlignment="1">
      <alignment textRotation="90" shrinkToFit="1"/>
    </xf>
    <xf numFmtId="165" fontId="16" fillId="20" borderId="6" xfId="0" quotePrefix="1" applyNumberFormat="1" applyFont="1" applyFill="1" applyBorder="1" applyAlignment="1">
      <alignment textRotation="90" shrinkToFit="1"/>
    </xf>
    <xf numFmtId="165" fontId="6" fillId="20" borderId="3" xfId="0" quotePrefix="1" applyNumberFormat="1" applyFont="1" applyFill="1" applyBorder="1" applyAlignment="1">
      <alignment textRotation="90" shrinkToFit="1"/>
    </xf>
    <xf numFmtId="165" fontId="6" fillId="19" borderId="0" xfId="0" quotePrefix="1" applyNumberFormat="1" applyFont="1" applyFill="1" applyBorder="1" applyAlignment="1">
      <alignment horizontal="center" textRotation="90" shrinkToFit="1"/>
    </xf>
    <xf numFmtId="165" fontId="6" fillId="19" borderId="3" xfId="0" quotePrefix="1" applyNumberFormat="1" applyFont="1" applyFill="1" applyBorder="1" applyAlignment="1">
      <alignment textRotation="90" shrinkToFit="1"/>
    </xf>
    <xf numFmtId="165" fontId="10" fillId="4" borderId="6" xfId="0" quotePrefix="1" applyNumberFormat="1" applyFont="1" applyFill="1" applyBorder="1" applyAlignment="1">
      <alignment textRotation="90" shrinkToFit="1"/>
    </xf>
    <xf numFmtId="0" fontId="39" fillId="2" borderId="0" xfId="0" applyFont="1" applyFill="1" applyAlignment="1">
      <alignment vertical="top"/>
    </xf>
    <xf numFmtId="0" fontId="40" fillId="40" borderId="23" xfId="0" applyFont="1" applyFill="1" applyBorder="1" applyAlignment="1">
      <alignment vertical="top"/>
    </xf>
    <xf numFmtId="0" fontId="41" fillId="2" borderId="0" xfId="0" applyFont="1" applyFill="1" applyBorder="1" applyAlignment="1">
      <alignment vertical="top" wrapText="1"/>
    </xf>
    <xf numFmtId="0" fontId="41" fillId="2" borderId="0" xfId="0" applyFont="1" applyFill="1" applyAlignment="1">
      <alignment vertical="top"/>
    </xf>
    <xf numFmtId="0" fontId="42" fillId="2" borderId="0" xfId="0" applyFont="1" applyFill="1" applyAlignment="1">
      <alignment vertical="top"/>
    </xf>
    <xf numFmtId="0" fontId="41" fillId="2" borderId="24" xfId="0" applyFont="1" applyFill="1" applyBorder="1" applyAlignment="1">
      <alignment vertical="top"/>
    </xf>
    <xf numFmtId="0" fontId="39" fillId="2" borderId="0" xfId="0" applyFont="1" applyFill="1" applyBorder="1" applyAlignment="1">
      <alignment vertical="top"/>
    </xf>
    <xf numFmtId="0" fontId="40" fillId="40" borderId="0" xfId="0" applyFont="1" applyFill="1" applyBorder="1" applyAlignment="1">
      <alignment vertical="top"/>
    </xf>
    <xf numFmtId="0" fontId="39" fillId="2" borderId="0" xfId="0" applyFont="1" applyFill="1" applyBorder="1"/>
    <xf numFmtId="0" fontId="40" fillId="40" borderId="0" xfId="0" applyFont="1" applyFill="1" applyBorder="1"/>
    <xf numFmtId="0" fontId="43" fillId="19" borderId="0" xfId="0" quotePrefix="1" applyFont="1" applyFill="1" applyBorder="1" applyAlignment="1">
      <alignment horizontal="center" vertical="center" wrapText="1"/>
    </xf>
    <xf numFmtId="0" fontId="44" fillId="19" borderId="0" xfId="0" quotePrefix="1" applyFont="1" applyFill="1" applyBorder="1" applyAlignment="1">
      <alignment horizontal="center" vertical="center"/>
    </xf>
    <xf numFmtId="167" fontId="44" fillId="19" borderId="0" xfId="0" quotePrefix="1" applyNumberFormat="1" applyFont="1" applyFill="1" applyBorder="1" applyAlignment="1">
      <alignment horizontal="center" vertical="center"/>
    </xf>
    <xf numFmtId="0" fontId="44" fillId="19" borderId="0" xfId="0" quotePrefix="1" applyFont="1" applyFill="1" applyBorder="1" applyAlignment="1">
      <alignment horizontal="center" vertical="center" shrinkToFit="1"/>
    </xf>
    <xf numFmtId="171" fontId="44" fillId="19" borderId="24" xfId="0" quotePrefix="1" applyNumberFormat="1" applyFont="1" applyFill="1" applyBorder="1" applyAlignment="1">
      <alignment horizontal="center" vertical="center"/>
    </xf>
    <xf numFmtId="0" fontId="40" fillId="40" borderId="23" xfId="0" applyFont="1" applyFill="1" applyBorder="1"/>
    <xf numFmtId="0" fontId="43" fillId="19" borderId="25" xfId="0" applyFont="1" applyFill="1" applyBorder="1" applyAlignment="1">
      <alignment horizontal="center" vertical="center" wrapText="1"/>
    </xf>
    <xf numFmtId="0" fontId="44" fillId="19" borderId="26" xfId="0" applyFont="1" applyFill="1" applyBorder="1" applyAlignment="1">
      <alignment horizontal="center" vertical="center"/>
    </xf>
    <xf numFmtId="167" fontId="44" fillId="19" borderId="27" xfId="0" applyNumberFormat="1" applyFont="1" applyFill="1" applyBorder="1" applyAlignment="1">
      <alignment horizontal="center" vertical="center"/>
    </xf>
    <xf numFmtId="0" fontId="44" fillId="19" borderId="27" xfId="0" applyFont="1" applyFill="1" applyBorder="1" applyAlignment="1">
      <alignment horizontal="center" vertical="center" shrinkToFit="1"/>
    </xf>
    <xf numFmtId="171" fontId="44" fillId="19" borderId="28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vertical="top"/>
    </xf>
    <xf numFmtId="0" fontId="4" fillId="2" borderId="0" xfId="0" applyFont="1" applyFill="1" applyBorder="1" applyAlignment="1">
      <alignment vertical="top"/>
    </xf>
    <xf numFmtId="0" fontId="20" fillId="2" borderId="0" xfId="0" applyFont="1" applyFill="1" applyBorder="1" applyAlignment="1">
      <alignment vertical="top"/>
    </xf>
    <xf numFmtId="0" fontId="4" fillId="2" borderId="0" xfId="0" applyFont="1" applyFill="1"/>
    <xf numFmtId="0" fontId="48" fillId="19" borderId="31" xfId="0" applyFont="1" applyFill="1" applyBorder="1" applyAlignment="1">
      <alignment horizontal="center" vertical="center" wrapText="1"/>
    </xf>
    <xf numFmtId="0" fontId="48" fillId="19" borderId="2" xfId="0" applyFont="1" applyFill="1" applyBorder="1" applyAlignment="1">
      <alignment horizontal="center" vertical="center"/>
    </xf>
    <xf numFmtId="167" fontId="48" fillId="19" borderId="6" xfId="0" applyNumberFormat="1" applyFont="1" applyFill="1" applyBorder="1" applyAlignment="1">
      <alignment horizontal="center" vertical="center"/>
    </xf>
    <xf numFmtId="0" fontId="48" fillId="19" borderId="6" xfId="0" applyFont="1" applyFill="1" applyBorder="1" applyAlignment="1">
      <alignment horizontal="center" vertical="center" shrinkToFit="1"/>
    </xf>
    <xf numFmtId="171" fontId="48" fillId="19" borderId="32" xfId="0" applyNumberFormat="1" applyFont="1" applyFill="1" applyBorder="1" applyAlignment="1">
      <alignment horizontal="center" vertical="center"/>
    </xf>
    <xf numFmtId="0" fontId="24" fillId="3" borderId="0" xfId="0" applyFont="1" applyFill="1" applyBorder="1" applyAlignment="1">
      <alignment horizontal="center" vertical="center" wrapText="1"/>
    </xf>
    <xf numFmtId="0" fontId="24" fillId="19" borderId="0" xfId="0" applyFont="1" applyFill="1" applyBorder="1" applyAlignment="1">
      <alignment horizontal="center" vertical="center"/>
    </xf>
    <xf numFmtId="167" fontId="24" fillId="19" borderId="0" xfId="0" applyNumberFormat="1" applyFont="1" applyFill="1" applyBorder="1" applyAlignment="1">
      <alignment horizontal="center" vertical="center"/>
    </xf>
    <xf numFmtId="0" fontId="24" fillId="19" borderId="0" xfId="0" applyFont="1" applyFill="1" applyBorder="1" applyAlignment="1">
      <alignment horizontal="center" vertical="center" shrinkToFit="1"/>
    </xf>
    <xf numFmtId="171" fontId="24" fillId="19" borderId="0" xfId="0" applyNumberFormat="1" applyFont="1" applyFill="1" applyBorder="1" applyAlignment="1">
      <alignment horizontal="center" vertical="center"/>
    </xf>
    <xf numFmtId="0" fontId="32" fillId="2" borderId="0" xfId="0" applyFont="1" applyFill="1" applyAlignment="1"/>
    <xf numFmtId="0" fontId="49" fillId="9" borderId="6" xfId="0" applyFont="1" applyFill="1" applyBorder="1"/>
    <xf numFmtId="0" fontId="49" fillId="9" borderId="6" xfId="0" applyFont="1" applyFill="1" applyBorder="1" applyAlignment="1">
      <alignment horizontal="left" vertical="top" wrapText="1"/>
    </xf>
    <xf numFmtId="0" fontId="49" fillId="9" borderId="11" xfId="0" applyFont="1" applyFill="1" applyBorder="1"/>
    <xf numFmtId="0" fontId="46" fillId="2" borderId="0" xfId="0" applyFont="1" applyFill="1" applyBorder="1" applyAlignment="1">
      <alignment vertical="top" wrapText="1"/>
    </xf>
    <xf numFmtId="0" fontId="47" fillId="40" borderId="0" xfId="0" applyFont="1" applyFill="1" applyBorder="1" applyAlignment="1">
      <alignment vertical="top" wrapText="1"/>
    </xf>
    <xf numFmtId="0" fontId="0" fillId="2" borderId="0" xfId="0" applyFill="1" applyAlignment="1">
      <alignment vertical="top" wrapText="1"/>
    </xf>
    <xf numFmtId="0" fontId="50" fillId="3" borderId="20" xfId="0" applyFont="1" applyFill="1" applyBorder="1" applyAlignment="1">
      <alignment vertical="top" wrapText="1"/>
    </xf>
    <xf numFmtId="0" fontId="50" fillId="3" borderId="20" xfId="0" quotePrefix="1" applyFont="1" applyFill="1" applyBorder="1" applyAlignment="1">
      <alignment vertical="top" wrapText="1"/>
    </xf>
    <xf numFmtId="0" fontId="50" fillId="3" borderId="29" xfId="0" applyFont="1" applyFill="1" applyBorder="1" applyAlignment="1">
      <alignment vertical="top" wrapText="1"/>
    </xf>
    <xf numFmtId="0" fontId="52" fillId="2" borderId="0" xfId="0" applyFont="1" applyFill="1" applyAlignment="1">
      <alignment shrinkToFit="1"/>
    </xf>
    <xf numFmtId="0" fontId="54" fillId="19" borderId="25" xfId="0" quotePrefix="1" applyFont="1" applyFill="1" applyBorder="1" applyAlignment="1">
      <alignment horizontal="center" vertical="center" wrapText="1"/>
    </xf>
    <xf numFmtId="0" fontId="54" fillId="19" borderId="0" xfId="0" quotePrefix="1" applyFont="1" applyFill="1" applyBorder="1" applyAlignment="1">
      <alignment horizontal="center" vertical="center" wrapText="1"/>
    </xf>
    <xf numFmtId="0" fontId="59" fillId="40" borderId="0" xfId="0" applyFont="1" applyFill="1" applyBorder="1" applyAlignment="1">
      <alignment vertical="center" wrapText="1"/>
    </xf>
    <xf numFmtId="0" fontId="57" fillId="2" borderId="0" xfId="0" applyFont="1" applyFill="1" applyBorder="1" applyAlignment="1">
      <alignment vertical="center" wrapText="1"/>
    </xf>
    <xf numFmtId="171" fontId="53" fillId="19" borderId="28" xfId="0" quotePrefix="1" applyNumberFormat="1" applyFont="1" applyFill="1" applyBorder="1" applyAlignment="1">
      <alignment horizontal="center" vertical="top"/>
    </xf>
    <xf numFmtId="171" fontId="53" fillId="19" borderId="24" xfId="0" quotePrefix="1" applyNumberFormat="1" applyFont="1" applyFill="1" applyBorder="1" applyAlignment="1">
      <alignment horizontal="center" vertical="top"/>
    </xf>
    <xf numFmtId="0" fontId="57" fillId="2" borderId="24" xfId="0" applyFont="1" applyFill="1" applyBorder="1" applyAlignment="1">
      <alignment vertical="top"/>
    </xf>
    <xf numFmtId="0" fontId="53" fillId="19" borderId="27" xfId="0" quotePrefix="1" applyFont="1" applyFill="1" applyBorder="1" applyAlignment="1">
      <alignment horizontal="center" vertical="top"/>
    </xf>
    <xf numFmtId="0" fontId="53" fillId="19" borderId="0" xfId="0" quotePrefix="1" applyFont="1" applyFill="1" applyBorder="1" applyAlignment="1">
      <alignment horizontal="center" vertical="top"/>
    </xf>
    <xf numFmtId="169" fontId="58" fillId="2" borderId="0" xfId="0" applyNumberFormat="1" applyFont="1" applyFill="1" applyBorder="1" applyAlignment="1">
      <alignment horizontal="left" vertical="top"/>
    </xf>
    <xf numFmtId="0" fontId="57" fillId="2" borderId="0" xfId="0" applyFont="1" applyFill="1" applyAlignment="1">
      <alignment vertical="top"/>
    </xf>
    <xf numFmtId="167" fontId="53" fillId="19" borderId="27" xfId="0" quotePrefix="1" applyNumberFormat="1" applyFont="1" applyFill="1" applyBorder="1" applyAlignment="1">
      <alignment horizontal="center" vertical="top"/>
    </xf>
    <xf numFmtId="167" fontId="53" fillId="19" borderId="0" xfId="0" quotePrefix="1" applyNumberFormat="1" applyFont="1" applyFill="1" applyBorder="1" applyAlignment="1">
      <alignment horizontal="center" vertical="top"/>
    </xf>
    <xf numFmtId="0" fontId="56" fillId="2" borderId="0" xfId="0" applyFont="1" applyFill="1" applyAlignment="1">
      <alignment vertical="top"/>
    </xf>
    <xf numFmtId="167" fontId="53" fillId="19" borderId="27" xfId="0" quotePrefix="1" applyNumberFormat="1" applyFont="1" applyFill="1" applyBorder="1" applyAlignment="1">
      <alignment horizontal="left" vertical="top"/>
    </xf>
    <xf numFmtId="0" fontId="53" fillId="19" borderId="26" xfId="0" quotePrefix="1" applyFont="1" applyFill="1" applyBorder="1" applyAlignment="1">
      <alignment horizontal="center" vertical="top"/>
    </xf>
    <xf numFmtId="169" fontId="57" fillId="2" borderId="0" xfId="0" applyNumberFormat="1" applyFont="1" applyFill="1" applyAlignment="1">
      <alignment vertical="top"/>
    </xf>
    <xf numFmtId="0" fontId="0" fillId="18" borderId="0" xfId="0" applyFont="1" applyFill="1" applyAlignment="1">
      <alignment shrinkToFit="1"/>
    </xf>
    <xf numFmtId="0" fontId="0" fillId="19" borderId="0" xfId="0" applyFill="1"/>
    <xf numFmtId="0" fontId="0" fillId="43" borderId="0" xfId="0" applyFill="1"/>
    <xf numFmtId="0" fontId="82" fillId="23" borderId="17" xfId="0" applyFont="1" applyFill="1" applyBorder="1" applyAlignment="1">
      <alignment horizontal="center" vertical="center"/>
    </xf>
    <xf numFmtId="171" fontId="55" fillId="0" borderId="33" xfId="0" applyNumberFormat="1" applyFont="1" applyBorder="1" applyAlignment="1">
      <alignment horizontal="left" vertical="top"/>
    </xf>
    <xf numFmtId="0" fontId="55" fillId="0" borderId="30" xfId="0" applyFont="1" applyBorder="1" applyAlignment="1">
      <alignment horizontal="left" vertical="top"/>
    </xf>
    <xf numFmtId="167" fontId="56" fillId="0" borderId="30" xfId="0" applyNumberFormat="1" applyFont="1" applyBorder="1" applyAlignment="1">
      <alignment horizontal="center" vertical="top"/>
    </xf>
    <xf numFmtId="169" fontId="55" fillId="0" borderId="30" xfId="0" applyNumberFormat="1" applyFont="1" applyBorder="1" applyAlignment="1">
      <alignment horizontal="center" vertical="top"/>
    </xf>
    <xf numFmtId="169" fontId="55" fillId="0" borderId="30" xfId="0" applyNumberFormat="1" applyFont="1" applyBorder="1" applyAlignment="1">
      <alignment horizontal="left" vertical="top" wrapText="1"/>
    </xf>
    <xf numFmtId="0" fontId="69" fillId="0" borderId="0" xfId="0" applyFont="1" applyFill="1" applyAlignment="1">
      <alignment shrinkToFit="1"/>
    </xf>
    <xf numFmtId="0" fontId="64" fillId="0" borderId="0" xfId="0" applyFont="1" applyFill="1"/>
    <xf numFmtId="1" fontId="64" fillId="0" borderId="0" xfId="0" applyNumberFormat="1" applyFont="1" applyFill="1" applyAlignment="1">
      <alignment horizontal="right"/>
    </xf>
    <xf numFmtId="0" fontId="81" fillId="17" borderId="0" xfId="0" applyFont="1" applyFill="1" applyBorder="1" applyAlignment="1">
      <alignment horizontal="center" vertical="center"/>
    </xf>
    <xf numFmtId="0" fontId="81" fillId="17" borderId="0" xfId="0" applyFont="1" applyFill="1" applyAlignment="1">
      <alignment horizontal="center" vertical="center"/>
    </xf>
    <xf numFmtId="0" fontId="73" fillId="17" borderId="0" xfId="0" applyFont="1" applyFill="1" applyAlignment="1">
      <alignment horizontal="center" vertical="center"/>
    </xf>
    <xf numFmtId="0" fontId="83" fillId="23" borderId="0" xfId="0" applyFont="1" applyFill="1" applyBorder="1" applyAlignment="1">
      <alignment horizontal="center" vertical="center"/>
    </xf>
    <xf numFmtId="1" fontId="81" fillId="28" borderId="0" xfId="1" applyNumberFormat="1" applyFont="1" applyFill="1" applyBorder="1" applyAlignment="1">
      <alignment horizontal="center" vertical="center"/>
    </xf>
    <xf numFmtId="169" fontId="84" fillId="43" borderId="18" xfId="0" applyNumberFormat="1" applyFont="1" applyFill="1" applyBorder="1" applyAlignment="1">
      <alignment horizontal="center" vertical="center"/>
    </xf>
    <xf numFmtId="169" fontId="83" fillId="23" borderId="0" xfId="0" applyNumberFormat="1" applyFont="1" applyFill="1" applyBorder="1" applyAlignment="1">
      <alignment horizontal="center" vertical="center"/>
    </xf>
    <xf numFmtId="169" fontId="85" fillId="26" borderId="0" xfId="1" applyNumberFormat="1" applyFont="1" applyFill="1" applyBorder="1" applyAlignment="1">
      <alignment horizontal="center" vertical="center"/>
    </xf>
    <xf numFmtId="169" fontId="81" fillId="24" borderId="0" xfId="1" applyNumberFormat="1" applyFont="1" applyFill="1" applyBorder="1" applyAlignment="1">
      <alignment horizontal="center" vertical="center"/>
    </xf>
    <xf numFmtId="0" fontId="61" fillId="23" borderId="0" xfId="0" applyFont="1" applyFill="1" applyBorder="1"/>
    <xf numFmtId="0" fontId="61" fillId="23" borderId="0" xfId="0" applyFont="1" applyFill="1" applyBorder="1" applyAlignment="1">
      <alignment horizontal="right"/>
    </xf>
    <xf numFmtId="0" fontId="81" fillId="17" borderId="0" xfId="0" applyFont="1" applyFill="1" applyBorder="1" applyAlignment="1">
      <alignment horizontal="left" vertical="center"/>
    </xf>
    <xf numFmtId="16" fontId="81" fillId="17" borderId="0" xfId="0" applyNumberFormat="1" applyFont="1" applyFill="1" applyBorder="1" applyAlignment="1">
      <alignment horizontal="left" vertical="center"/>
    </xf>
    <xf numFmtId="1" fontId="81" fillId="17" borderId="0" xfId="1" applyNumberFormat="1" applyFont="1" applyFill="1" applyBorder="1" applyAlignment="1">
      <alignment horizontal="left" vertical="center"/>
    </xf>
    <xf numFmtId="1" fontId="81" fillId="17" borderId="0" xfId="1" applyNumberFormat="1" applyFont="1" applyFill="1" applyBorder="1" applyAlignment="1">
      <alignment horizontal="right" vertical="center"/>
    </xf>
    <xf numFmtId="0" fontId="81" fillId="17" borderId="19" xfId="0" applyFont="1" applyFill="1" applyBorder="1" applyAlignment="1">
      <alignment horizontal="left" vertical="center"/>
    </xf>
    <xf numFmtId="16" fontId="81" fillId="17" borderId="19" xfId="0" applyNumberFormat="1" applyFont="1" applyFill="1" applyBorder="1" applyAlignment="1">
      <alignment horizontal="left" vertical="center"/>
    </xf>
    <xf numFmtId="1" fontId="81" fillId="17" borderId="19" xfId="1" applyNumberFormat="1" applyFont="1" applyFill="1" applyBorder="1" applyAlignment="1">
      <alignment horizontal="left" vertical="center"/>
    </xf>
    <xf numFmtId="1" fontId="81" fillId="17" borderId="19" xfId="1" applyNumberFormat="1" applyFont="1" applyFill="1" applyBorder="1" applyAlignment="1">
      <alignment horizontal="right" vertical="center"/>
    </xf>
    <xf numFmtId="0" fontId="81" fillId="28" borderId="0" xfId="0" applyFont="1" applyFill="1" applyBorder="1" applyAlignment="1">
      <alignment horizontal="left" vertical="center"/>
    </xf>
    <xf numFmtId="16" fontId="81" fillId="28" borderId="0" xfId="0" applyNumberFormat="1" applyFont="1" applyFill="1" applyBorder="1" applyAlignment="1">
      <alignment horizontal="left" vertical="center"/>
    </xf>
    <xf numFmtId="1" fontId="81" fillId="28" borderId="0" xfId="1" applyNumberFormat="1" applyFont="1" applyFill="1" applyBorder="1" applyAlignment="1">
      <alignment horizontal="right" vertical="center"/>
    </xf>
    <xf numFmtId="0" fontId="86" fillId="43" borderId="0" xfId="0" applyFont="1" applyFill="1" applyBorder="1" applyAlignment="1">
      <alignment horizontal="left" vertical="center"/>
    </xf>
    <xf numFmtId="0" fontId="87" fillId="43" borderId="0" xfId="0" applyFont="1" applyFill="1" applyBorder="1" applyAlignment="1">
      <alignment horizontal="center" vertical="center"/>
    </xf>
    <xf numFmtId="0" fontId="81" fillId="43" borderId="0" xfId="0" applyFont="1" applyFill="1" applyBorder="1"/>
    <xf numFmtId="0" fontId="81" fillId="27" borderId="0" xfId="0" applyFont="1" applyFill="1" applyBorder="1" applyAlignment="1">
      <alignment horizontal="left" vertical="center"/>
    </xf>
    <xf numFmtId="1" fontId="81" fillId="27" borderId="0" xfId="1" applyNumberFormat="1" applyFont="1" applyFill="1" applyBorder="1" applyAlignment="1">
      <alignment horizontal="left" vertical="center"/>
    </xf>
    <xf numFmtId="1" fontId="81" fillId="27" borderId="0" xfId="1" applyNumberFormat="1" applyFont="1" applyFill="1" applyBorder="1" applyAlignment="1">
      <alignment horizontal="right" vertical="center"/>
    </xf>
    <xf numFmtId="0" fontId="89" fillId="0" borderId="0" xfId="0" applyFont="1" applyFill="1" applyBorder="1"/>
    <xf numFmtId="0" fontId="90" fillId="0" borderId="0" xfId="0" applyFont="1" applyFill="1" applyBorder="1"/>
    <xf numFmtId="1" fontId="90" fillId="0" borderId="0" xfId="0" applyNumberFormat="1" applyFont="1" applyFill="1" applyBorder="1" applyAlignment="1">
      <alignment horizontal="right"/>
    </xf>
    <xf numFmtId="16" fontId="81" fillId="27" borderId="0" xfId="0" applyNumberFormat="1" applyFont="1" applyFill="1" applyBorder="1" applyAlignment="1">
      <alignment horizontal="left" vertical="center"/>
    </xf>
    <xf numFmtId="0" fontId="88" fillId="23" borderId="0" xfId="0" applyFont="1" applyFill="1" applyBorder="1"/>
    <xf numFmtId="0" fontId="91" fillId="23" borderId="0" xfId="0" applyFont="1" applyFill="1" applyBorder="1" applyAlignment="1">
      <alignment horizontal="left" vertical="top" indent="30"/>
    </xf>
    <xf numFmtId="0" fontId="91" fillId="23" borderId="0" xfId="0" applyFont="1" applyFill="1" applyBorder="1" applyAlignment="1">
      <alignment horizontal="right"/>
    </xf>
    <xf numFmtId="168" fontId="91" fillId="23" borderId="0" xfId="1" applyNumberFormat="1" applyFont="1" applyFill="1" applyBorder="1" applyAlignment="1">
      <alignment horizontal="right" shrinkToFit="1"/>
    </xf>
    <xf numFmtId="0" fontId="64" fillId="23" borderId="0" xfId="0" applyFont="1" applyFill="1" applyBorder="1"/>
    <xf numFmtId="0" fontId="92" fillId="23" borderId="0" xfId="0" applyFont="1" applyFill="1" applyBorder="1"/>
    <xf numFmtId="168" fontId="91" fillId="23" borderId="0" xfId="0" applyNumberFormat="1" applyFont="1" applyFill="1" applyBorder="1" applyAlignment="1">
      <alignment shrinkToFit="1"/>
    </xf>
    <xf numFmtId="49" fontId="64" fillId="23" borderId="0" xfId="0" applyNumberFormat="1" applyFont="1" applyFill="1" applyBorder="1" applyAlignment="1">
      <alignment horizontal="left" vertical="top"/>
    </xf>
    <xf numFmtId="0" fontId="64" fillId="23" borderId="0" xfId="0" applyFont="1" applyFill="1" applyBorder="1" applyAlignment="1">
      <alignment horizontal="right" vertical="top"/>
    </xf>
    <xf numFmtId="0" fontId="92" fillId="23" borderId="0" xfId="0" applyFont="1" applyFill="1" applyBorder="1" applyAlignment="1">
      <alignment horizontal="left"/>
    </xf>
    <xf numFmtId="168" fontId="92" fillId="23" borderId="0" xfId="1" applyNumberFormat="1" applyFont="1" applyFill="1" applyBorder="1" applyAlignment="1">
      <alignment horizontal="right" shrinkToFit="1"/>
    </xf>
    <xf numFmtId="0" fontId="81" fillId="25" borderId="0" xfId="0" applyFont="1" applyFill="1" applyBorder="1" applyAlignment="1">
      <alignment horizontal="left" vertical="center"/>
    </xf>
    <xf numFmtId="16" fontId="81" fillId="25" borderId="0" xfId="0" applyNumberFormat="1" applyFont="1" applyFill="1" applyBorder="1" applyAlignment="1">
      <alignment horizontal="left" vertical="center"/>
    </xf>
    <xf numFmtId="1" fontId="81" fillId="25" borderId="0" xfId="1" applyNumberFormat="1" applyFont="1" applyFill="1" applyBorder="1" applyAlignment="1">
      <alignment horizontal="left" vertical="center"/>
    </xf>
    <xf numFmtId="1" fontId="81" fillId="25" borderId="0" xfId="1" applyNumberFormat="1" applyFont="1" applyFill="1" applyBorder="1" applyAlignment="1">
      <alignment horizontal="right" vertical="center"/>
    </xf>
    <xf numFmtId="0" fontId="93" fillId="0" borderId="0" xfId="0" applyFont="1" applyFill="1" applyBorder="1"/>
    <xf numFmtId="0" fontId="80" fillId="0" borderId="0" xfId="0" applyFont="1" applyFill="1" applyBorder="1"/>
    <xf numFmtId="1" fontId="80" fillId="0" borderId="0" xfId="0" applyNumberFormat="1" applyFont="1" applyFill="1" applyBorder="1" applyAlignment="1">
      <alignment horizontal="right"/>
    </xf>
    <xf numFmtId="49" fontId="80" fillId="23" borderId="0" xfId="0" applyNumberFormat="1" applyFont="1" applyFill="1" applyBorder="1" applyAlignment="1">
      <alignment horizontal="left" vertical="top"/>
    </xf>
    <xf numFmtId="0" fontId="80" fillId="23" borderId="0" xfId="0" applyFont="1" applyFill="1" applyBorder="1" applyAlignment="1">
      <alignment horizontal="right" vertical="top"/>
    </xf>
    <xf numFmtId="0" fontId="80" fillId="23" borderId="0" xfId="0" applyFont="1" applyFill="1" applyBorder="1" applyAlignment="1">
      <alignment horizontal="left" indent="1"/>
    </xf>
    <xf numFmtId="1" fontId="80" fillId="23" borderId="0" xfId="1" applyNumberFormat="1" applyFont="1" applyFill="1" applyBorder="1" applyAlignment="1">
      <alignment horizontal="right" vertical="top"/>
    </xf>
    <xf numFmtId="0" fontId="80" fillId="23" borderId="0" xfId="0" applyFont="1" applyFill="1" applyBorder="1"/>
    <xf numFmtId="0" fontId="80" fillId="23" borderId="0" xfId="0" applyFont="1" applyFill="1" applyBorder="1" applyAlignment="1">
      <alignment horizontal="right"/>
    </xf>
    <xf numFmtId="17" fontId="81" fillId="25" borderId="0" xfId="0" applyNumberFormat="1" applyFont="1" applyFill="1" applyBorder="1" applyAlignment="1">
      <alignment horizontal="left" vertical="center"/>
    </xf>
    <xf numFmtId="0" fontId="94" fillId="23" borderId="0" xfId="0" applyFont="1" applyFill="1" applyBorder="1" applyAlignment="1">
      <alignment horizontal="left" vertical="center"/>
    </xf>
    <xf numFmtId="0" fontId="94" fillId="23" borderId="0" xfId="0" applyNumberFormat="1" applyFont="1" applyFill="1" applyBorder="1" applyAlignment="1">
      <alignment horizontal="left" vertical="center"/>
    </xf>
    <xf numFmtId="6" fontId="95" fillId="23" borderId="0" xfId="0" applyNumberFormat="1" applyFont="1" applyFill="1" applyBorder="1" applyAlignment="1">
      <alignment horizontal="left" vertical="center"/>
    </xf>
    <xf numFmtId="0" fontId="96" fillId="41" borderId="0" xfId="0" applyFont="1" applyFill="1" applyAlignment="1">
      <alignment vertical="top"/>
    </xf>
    <xf numFmtId="0" fontId="29" fillId="23" borderId="0" xfId="0" applyFont="1" applyFill="1" applyBorder="1" applyAlignment="1">
      <alignment horizontal="left" vertical="center"/>
    </xf>
    <xf numFmtId="0" fontId="28" fillId="23" borderId="0" xfId="0" applyNumberFormat="1" applyFont="1" applyFill="1" applyAlignment="1">
      <alignment horizontal="left" vertical="center"/>
    </xf>
    <xf numFmtId="0" fontId="28" fillId="23" borderId="0" xfId="0" applyNumberFormat="1" applyFont="1" applyFill="1" applyAlignment="1">
      <alignment vertical="center"/>
    </xf>
    <xf numFmtId="0" fontId="28" fillId="23" borderId="0" xfId="0" applyFont="1" applyFill="1" applyAlignment="1">
      <alignment vertical="center"/>
    </xf>
    <xf numFmtId="0" fontId="31" fillId="23" borderId="0" xfId="0" applyFont="1" applyFill="1" applyAlignment="1">
      <alignment vertical="center"/>
    </xf>
    <xf numFmtId="0" fontId="64" fillId="0" borderId="0" xfId="0" applyFont="1" applyFill="1" applyAlignment="1">
      <alignment vertical="center" wrapText="1"/>
    </xf>
    <xf numFmtId="0" fontId="64" fillId="0" borderId="0" xfId="0" applyFont="1" applyFill="1" applyAlignment="1">
      <alignment vertical="center"/>
    </xf>
    <xf numFmtId="1" fontId="64" fillId="0" borderId="0" xfId="0" applyNumberFormat="1" applyFont="1" applyFill="1" applyAlignment="1">
      <alignment horizontal="right" vertical="center"/>
    </xf>
    <xf numFmtId="167" fontId="101" fillId="43" borderId="16" xfId="0" applyNumberFormat="1" applyFont="1" applyFill="1" applyBorder="1" applyAlignment="1">
      <alignment horizontal="center" vertical="center"/>
    </xf>
    <xf numFmtId="167" fontId="101" fillId="43" borderId="0" xfId="0" applyNumberFormat="1" applyFont="1" applyFill="1" applyBorder="1" applyAlignment="1">
      <alignment horizontal="center" vertical="center"/>
    </xf>
    <xf numFmtId="0" fontId="101" fillId="43" borderId="15" xfId="0" applyFont="1" applyFill="1" applyBorder="1" applyAlignment="1">
      <alignment horizontal="center" vertical="center"/>
    </xf>
    <xf numFmtId="0" fontId="101" fillId="43" borderId="14" xfId="0" applyFont="1" applyFill="1" applyBorder="1" applyAlignment="1">
      <alignment horizontal="center" vertical="center" wrapText="1"/>
    </xf>
    <xf numFmtId="0" fontId="102" fillId="43" borderId="0" xfId="0" applyFont="1" applyFill="1" applyAlignment="1">
      <alignment vertical="center"/>
    </xf>
    <xf numFmtId="0" fontId="103" fillId="43" borderId="1" xfId="0" applyFont="1" applyFill="1" applyBorder="1" applyAlignment="1">
      <alignment vertical="center"/>
    </xf>
    <xf numFmtId="49" fontId="104" fillId="2" borderId="0" xfId="0" applyNumberFormat="1" applyFont="1" applyFill="1" applyBorder="1" applyAlignment="1">
      <alignment horizontal="center" wrapText="1"/>
    </xf>
    <xf numFmtId="0" fontId="105" fillId="17" borderId="0" xfId="0" quotePrefix="1" applyFont="1" applyFill="1" applyBorder="1" applyAlignment="1">
      <alignment vertical="center" wrapText="1"/>
    </xf>
    <xf numFmtId="0" fontId="101" fillId="17" borderId="1" xfId="0" applyFont="1" applyFill="1" applyBorder="1" applyAlignment="1">
      <alignment vertical="center"/>
    </xf>
    <xf numFmtId="0" fontId="101" fillId="17" borderId="0" xfId="0" applyFont="1" applyFill="1" applyBorder="1" applyAlignment="1">
      <alignment vertical="center"/>
    </xf>
    <xf numFmtId="166" fontId="106" fillId="18" borderId="13" xfId="0" applyNumberFormat="1" applyFont="1" applyFill="1" applyBorder="1" applyAlignment="1">
      <alignment horizontal="left" vertical="center"/>
    </xf>
    <xf numFmtId="0" fontId="98" fillId="18" borderId="12" xfId="0" applyFont="1" applyFill="1" applyBorder="1" applyAlignment="1">
      <alignment horizontal="right" vertical="center"/>
    </xf>
    <xf numFmtId="0" fontId="106" fillId="18" borderId="12" xfId="0" applyFont="1" applyFill="1" applyBorder="1" applyAlignment="1">
      <alignment horizontal="left" vertical="center"/>
    </xf>
    <xf numFmtId="49" fontId="107" fillId="2" borderId="0" xfId="0" quotePrefix="1" applyNumberFormat="1" applyFont="1" applyFill="1" applyBorder="1" applyAlignment="1">
      <alignment horizontal="center" wrapText="1"/>
    </xf>
    <xf numFmtId="166" fontId="106" fillId="18" borderId="0" xfId="0" applyNumberFormat="1" applyFont="1" applyFill="1" applyBorder="1" applyAlignment="1">
      <alignment horizontal="left" vertical="center"/>
    </xf>
    <xf numFmtId="0" fontId="98" fillId="18" borderId="1" xfId="0" applyFont="1" applyFill="1" applyBorder="1" applyAlignment="1">
      <alignment horizontal="right" vertical="center"/>
    </xf>
    <xf numFmtId="0" fontId="106" fillId="18" borderId="7" xfId="0" applyFont="1" applyFill="1" applyBorder="1" applyAlignment="1">
      <alignment horizontal="left" vertical="center"/>
    </xf>
    <xf numFmtId="166" fontId="106" fillId="18" borderId="9" xfId="0" applyNumberFormat="1" applyFont="1" applyFill="1" applyBorder="1" applyAlignment="1">
      <alignment horizontal="left" vertical="center"/>
    </xf>
    <xf numFmtId="0" fontId="98" fillId="18" borderId="7" xfId="0" applyFont="1" applyFill="1" applyBorder="1" applyAlignment="1">
      <alignment horizontal="right" vertical="center"/>
    </xf>
    <xf numFmtId="0" fontId="106" fillId="18" borderId="1" xfId="0" applyFont="1" applyFill="1" applyBorder="1" applyAlignment="1">
      <alignment horizontal="left" vertical="center"/>
    </xf>
    <xf numFmtId="166" fontId="106" fillId="18" borderId="8" xfId="0" applyNumberFormat="1" applyFont="1" applyFill="1" applyBorder="1" applyAlignment="1">
      <alignment horizontal="left" vertical="center"/>
    </xf>
    <xf numFmtId="0" fontId="115" fillId="18" borderId="7" xfId="0" applyFont="1" applyFill="1" applyBorder="1" applyAlignment="1">
      <alignment horizontal="right" vertical="center"/>
    </xf>
    <xf numFmtId="49" fontId="116" fillId="2" borderId="0" xfId="0" quotePrefix="1" applyNumberFormat="1" applyFont="1" applyFill="1" applyBorder="1" applyAlignment="1">
      <alignment horizontal="center" wrapText="1"/>
    </xf>
    <xf numFmtId="0" fontId="98" fillId="18" borderId="1" xfId="0" applyFont="1" applyFill="1" applyBorder="1" applyAlignment="1">
      <alignment horizontal="left" vertical="center"/>
    </xf>
    <xf numFmtId="0" fontId="104" fillId="2" borderId="0" xfId="0" applyFont="1" applyFill="1" applyBorder="1" applyAlignment="1">
      <alignment horizontal="center" wrapText="1"/>
    </xf>
    <xf numFmtId="49" fontId="118" fillId="2" borderId="0" xfId="0" quotePrefix="1" applyNumberFormat="1" applyFont="1" applyFill="1" applyBorder="1" applyAlignment="1">
      <alignment wrapText="1"/>
    </xf>
    <xf numFmtId="49" fontId="120" fillId="2" borderId="0" xfId="0" quotePrefix="1" applyNumberFormat="1" applyFont="1" applyFill="1" applyBorder="1" applyAlignment="1">
      <alignment horizontal="right" wrapText="1"/>
    </xf>
    <xf numFmtId="49" fontId="118" fillId="2" borderId="0" xfId="0" quotePrefix="1" applyNumberFormat="1" applyFont="1" applyFill="1" applyBorder="1" applyAlignment="1">
      <alignment horizontal="right" wrapText="1"/>
    </xf>
    <xf numFmtId="49" fontId="122" fillId="2" borderId="0" xfId="0" quotePrefix="1" applyNumberFormat="1" applyFont="1" applyFill="1" applyBorder="1" applyAlignment="1">
      <alignment horizontal="right" wrapText="1"/>
    </xf>
    <xf numFmtId="0" fontId="108" fillId="18" borderId="7" xfId="0" applyFont="1" applyFill="1" applyBorder="1" applyAlignment="1">
      <alignment horizontal="right" vertical="center"/>
    </xf>
    <xf numFmtId="0" fontId="112" fillId="18" borderId="7" xfId="0" applyFont="1" applyFill="1" applyBorder="1" applyAlignment="1">
      <alignment horizontal="right" vertical="center"/>
    </xf>
    <xf numFmtId="0" fontId="123" fillId="18" borderId="7" xfId="0" applyFont="1" applyFill="1" applyBorder="1" applyAlignment="1">
      <alignment horizontal="left" vertical="center"/>
    </xf>
    <xf numFmtId="0" fontId="108" fillId="18" borderId="7" xfId="0" applyFont="1" applyFill="1" applyBorder="1" applyAlignment="1">
      <alignment horizontal="left" vertical="center"/>
    </xf>
    <xf numFmtId="0" fontId="108" fillId="18" borderId="7" xfId="0" applyFont="1" applyFill="1" applyBorder="1" applyAlignment="1">
      <alignment horizontal="right" vertical="center" wrapText="1"/>
    </xf>
    <xf numFmtId="0" fontId="112" fillId="18" borderId="7" xfId="0" applyFont="1" applyFill="1" applyBorder="1" applyAlignment="1">
      <alignment horizontal="right" vertical="center" wrapText="1"/>
    </xf>
    <xf numFmtId="0" fontId="108" fillId="18" borderId="7" xfId="0" applyFont="1" applyFill="1" applyBorder="1" applyAlignment="1">
      <alignment horizontal="center" vertical="center" wrapText="1"/>
    </xf>
    <xf numFmtId="0" fontId="108" fillId="18" borderId="7" xfId="0" applyFont="1" applyFill="1" applyBorder="1" applyAlignment="1">
      <alignment horizontal="left" vertical="center" wrapText="1"/>
    </xf>
    <xf numFmtId="0" fontId="100" fillId="2" borderId="2" xfId="0" applyFont="1" applyFill="1" applyBorder="1" applyAlignment="1">
      <alignment horizontal="left" shrinkToFit="1"/>
    </xf>
    <xf numFmtId="0" fontId="112" fillId="18" borderId="7" xfId="0" applyFont="1" applyFill="1" applyBorder="1" applyAlignment="1">
      <alignment horizontal="left" vertical="center"/>
    </xf>
    <xf numFmtId="0" fontId="108" fillId="18" borderId="7" xfId="0" quotePrefix="1" applyFont="1" applyFill="1" applyBorder="1" applyAlignment="1">
      <alignment horizontal="right" vertical="center"/>
    </xf>
    <xf numFmtId="0" fontId="108" fillId="18" borderId="7" xfId="0" applyFont="1" applyFill="1" applyBorder="1" applyAlignment="1">
      <alignment horizontal="right" vertical="top" wrapText="1"/>
    </xf>
    <xf numFmtId="166" fontId="106" fillId="44" borderId="9" xfId="0" applyNumberFormat="1" applyFont="1" applyFill="1" applyBorder="1" applyAlignment="1">
      <alignment horizontal="left" vertical="center"/>
    </xf>
    <xf numFmtId="0" fontId="108" fillId="44" borderId="7" xfId="0" applyFont="1" applyFill="1" applyBorder="1" applyAlignment="1">
      <alignment horizontal="right" vertical="center"/>
    </xf>
    <xf numFmtId="166" fontId="106" fillId="44" borderId="8" xfId="0" applyNumberFormat="1" applyFont="1" applyFill="1" applyBorder="1" applyAlignment="1">
      <alignment horizontal="left" vertical="center"/>
    </xf>
    <xf numFmtId="0" fontId="108" fillId="44" borderId="7" xfId="0" applyFont="1" applyFill="1" applyBorder="1" applyAlignment="1">
      <alignment horizontal="left" vertical="center"/>
    </xf>
    <xf numFmtId="0" fontId="130" fillId="44" borderId="7" xfId="0" applyFont="1" applyFill="1" applyBorder="1" applyAlignment="1">
      <alignment horizontal="right" vertical="center"/>
    </xf>
    <xf numFmtId="166" fontId="106" fillId="7" borderId="9" xfId="0" applyNumberFormat="1" applyFont="1" applyFill="1" applyBorder="1" applyAlignment="1">
      <alignment horizontal="left" vertical="center"/>
    </xf>
    <xf numFmtId="0" fontId="108" fillId="7" borderId="7" xfId="0" applyFont="1" applyFill="1" applyBorder="1" applyAlignment="1">
      <alignment horizontal="right" vertical="center"/>
    </xf>
    <xf numFmtId="166" fontId="106" fillId="7" borderId="8" xfId="0" applyNumberFormat="1" applyFont="1" applyFill="1" applyBorder="1" applyAlignment="1">
      <alignment horizontal="left" vertical="center"/>
    </xf>
    <xf numFmtId="0" fontId="108" fillId="7" borderId="7" xfId="0" applyFont="1" applyFill="1" applyBorder="1" applyAlignment="1">
      <alignment horizontal="left" vertical="center"/>
    </xf>
    <xf numFmtId="166" fontId="106" fillId="5" borderId="9" xfId="0" applyNumberFormat="1" applyFont="1" applyFill="1" applyBorder="1" applyAlignment="1">
      <alignment horizontal="left" vertical="center"/>
    </xf>
    <xf numFmtId="0" fontId="108" fillId="5" borderId="7" xfId="0" applyFont="1" applyFill="1" applyBorder="1" applyAlignment="1">
      <alignment horizontal="right" vertical="center"/>
    </xf>
    <xf numFmtId="166" fontId="106" fillId="5" borderId="8" xfId="0" applyNumberFormat="1" applyFont="1" applyFill="1" applyBorder="1" applyAlignment="1">
      <alignment horizontal="left" vertical="center"/>
    </xf>
    <xf numFmtId="166" fontId="106" fillId="38" borderId="8" xfId="0" applyNumberFormat="1" applyFont="1" applyFill="1" applyBorder="1" applyAlignment="1">
      <alignment horizontal="left" vertical="center"/>
    </xf>
    <xf numFmtId="0" fontId="108" fillId="38" borderId="7" xfId="0" applyFont="1" applyFill="1" applyBorder="1" applyAlignment="1">
      <alignment horizontal="right" vertical="center"/>
    </xf>
    <xf numFmtId="166" fontId="106" fillId="38" borderId="9" xfId="0" applyNumberFormat="1" applyFont="1" applyFill="1" applyBorder="1" applyAlignment="1">
      <alignment horizontal="left" vertical="center"/>
    </xf>
    <xf numFmtId="166" fontId="106" fillId="32" borderId="9" xfId="0" applyNumberFormat="1" applyFont="1" applyFill="1" applyBorder="1" applyAlignment="1">
      <alignment horizontal="left" vertical="center"/>
    </xf>
    <xf numFmtId="0" fontId="108" fillId="32" borderId="7" xfId="0" applyFont="1" applyFill="1" applyBorder="1" applyAlignment="1">
      <alignment horizontal="right" vertical="center"/>
    </xf>
    <xf numFmtId="166" fontId="106" fillId="32" borderId="8" xfId="0" applyNumberFormat="1" applyFont="1" applyFill="1" applyBorder="1" applyAlignment="1">
      <alignment horizontal="left" vertical="center"/>
    </xf>
    <xf numFmtId="0" fontId="131" fillId="2" borderId="0" xfId="0" quotePrefix="1" applyNumberFormat="1" applyFont="1" applyFill="1" applyBorder="1" applyAlignment="1">
      <alignment horizontal="right" vertical="center" wrapText="1"/>
    </xf>
    <xf numFmtId="49" fontId="131" fillId="2" borderId="0" xfId="0" quotePrefix="1" applyNumberFormat="1" applyFont="1" applyFill="1" applyBorder="1" applyAlignment="1">
      <alignment horizontal="left" vertical="center"/>
    </xf>
    <xf numFmtId="0" fontId="132" fillId="2" borderId="0" xfId="0" quotePrefix="1" applyNumberFormat="1" applyFont="1" applyFill="1" applyBorder="1" applyAlignment="1">
      <alignment horizontal="right" vertical="center" wrapText="1"/>
    </xf>
    <xf numFmtId="49" fontId="133" fillId="2" borderId="0" xfId="0" quotePrefix="1" applyNumberFormat="1" applyFont="1" applyFill="1" applyBorder="1" applyAlignment="1">
      <alignment horizontal="left" vertical="center"/>
    </xf>
    <xf numFmtId="0" fontId="103" fillId="2" borderId="0" xfId="0" applyFont="1" applyFill="1" applyBorder="1" applyAlignment="1">
      <alignment vertical="center"/>
    </xf>
    <xf numFmtId="49" fontId="132" fillId="2" borderId="0" xfId="0" quotePrefix="1" applyNumberFormat="1" applyFont="1" applyFill="1" applyBorder="1" applyAlignment="1">
      <alignment vertical="center" wrapText="1"/>
    </xf>
    <xf numFmtId="49" fontId="132" fillId="2" borderId="0" xfId="0" quotePrefix="1" applyNumberFormat="1" applyFont="1" applyFill="1" applyBorder="1" applyAlignment="1">
      <alignment vertical="center"/>
    </xf>
    <xf numFmtId="0" fontId="132" fillId="2" borderId="0" xfId="0" quotePrefix="1" applyNumberFormat="1" applyFont="1" applyFill="1" applyBorder="1" applyAlignment="1">
      <alignment horizontal="left" vertical="center" wrapText="1"/>
    </xf>
    <xf numFmtId="165" fontId="101" fillId="16" borderId="21" xfId="0" quotePrefix="1" applyNumberFormat="1" applyFont="1" applyFill="1" applyBorder="1" applyAlignment="1">
      <alignment vertical="center" textRotation="90"/>
    </xf>
    <xf numFmtId="0" fontId="134" fillId="31" borderId="0" xfId="0" applyFont="1" applyFill="1" applyBorder="1" applyAlignment="1">
      <alignment vertical="center"/>
    </xf>
    <xf numFmtId="0" fontId="99" fillId="3" borderId="0" xfId="0" applyFont="1" applyFill="1" applyBorder="1" applyAlignment="1">
      <alignment vertical="center"/>
    </xf>
    <xf numFmtId="165" fontId="101" fillId="33" borderId="21" xfId="0" quotePrefix="1" applyNumberFormat="1" applyFont="1" applyFill="1" applyBorder="1" applyAlignment="1">
      <alignment vertical="center" textRotation="90"/>
    </xf>
    <xf numFmtId="0" fontId="135" fillId="2" borderId="0" xfId="0" applyFont="1" applyFill="1" applyBorder="1" applyAlignment="1">
      <alignment vertical="center"/>
    </xf>
    <xf numFmtId="0" fontId="99" fillId="2" borderId="0" xfId="0" applyFont="1" applyFill="1" applyBorder="1" applyAlignment="1">
      <alignment vertical="center"/>
    </xf>
    <xf numFmtId="165" fontId="101" fillId="34" borderId="21" xfId="0" quotePrefix="1" applyNumberFormat="1" applyFont="1" applyFill="1" applyBorder="1" applyAlignment="1">
      <alignment horizontal="center" vertical="center" textRotation="90"/>
    </xf>
    <xf numFmtId="165" fontId="101" fillId="35" borderId="21" xfId="0" quotePrefix="1" applyNumberFormat="1" applyFont="1" applyFill="1" applyBorder="1" applyAlignment="1">
      <alignment horizontal="center" vertical="center" textRotation="90"/>
    </xf>
    <xf numFmtId="165" fontId="101" fillId="36" borderId="21" xfId="0" quotePrefix="1" applyNumberFormat="1" applyFont="1" applyFill="1" applyBorder="1" applyAlignment="1">
      <alignment horizontal="center" vertical="center" textRotation="90"/>
    </xf>
    <xf numFmtId="165" fontId="101" fillId="13" borderId="21" xfId="0" quotePrefix="1" applyNumberFormat="1" applyFont="1" applyFill="1" applyBorder="1" applyAlignment="1">
      <alignment horizontal="center" vertical="center" textRotation="90"/>
    </xf>
    <xf numFmtId="165" fontId="101" fillId="12" borderId="21" xfId="0" quotePrefix="1" applyNumberFormat="1" applyFont="1" applyFill="1" applyBorder="1" applyAlignment="1">
      <alignment horizontal="center" vertical="center" textRotation="90"/>
    </xf>
    <xf numFmtId="165" fontId="101" fillId="10" borderId="21" xfId="0" quotePrefix="1" applyNumberFormat="1" applyFont="1" applyFill="1" applyBorder="1" applyAlignment="1">
      <alignment horizontal="center" vertical="center" textRotation="90"/>
    </xf>
    <xf numFmtId="165" fontId="101" fillId="8" borderId="21" xfId="0" quotePrefix="1" applyNumberFormat="1" applyFont="1" applyFill="1" applyBorder="1" applyAlignment="1">
      <alignment horizontal="center" vertical="center" textRotation="90"/>
    </xf>
    <xf numFmtId="165" fontId="101" fillId="6" borderId="21" xfId="0" quotePrefix="1" applyNumberFormat="1" applyFont="1" applyFill="1" applyBorder="1" applyAlignment="1">
      <alignment horizontal="center" vertical="center" textRotation="90"/>
    </xf>
    <xf numFmtId="165" fontId="101" fillId="4" borderId="21" xfId="0" quotePrefix="1" applyNumberFormat="1" applyFont="1" applyFill="1" applyBorder="1" applyAlignment="1">
      <alignment horizontal="center" vertical="center" textRotation="90"/>
    </xf>
    <xf numFmtId="165" fontId="101" fillId="3" borderId="21" xfId="0" quotePrefix="1" applyNumberFormat="1" applyFont="1" applyFill="1" applyBorder="1" applyAlignment="1">
      <alignment vertical="center" textRotation="90"/>
    </xf>
    <xf numFmtId="0" fontId="136" fillId="30" borderId="0" xfId="0" applyFont="1" applyFill="1" applyBorder="1" applyAlignment="1">
      <alignment vertical="center"/>
    </xf>
    <xf numFmtId="0" fontId="137" fillId="2" borderId="0" xfId="0" applyFont="1" applyFill="1" applyBorder="1" applyAlignment="1">
      <alignment vertical="center"/>
    </xf>
    <xf numFmtId="49" fontId="119" fillId="2" borderId="0" xfId="0" quotePrefix="1" applyNumberFormat="1" applyFont="1" applyFill="1" applyBorder="1" applyAlignment="1">
      <alignment horizontal="left" vertical="center"/>
    </xf>
    <xf numFmtId="0" fontId="138" fillId="29" borderId="0" xfId="0" applyFont="1" applyFill="1" applyBorder="1" applyAlignment="1">
      <alignment vertical="center"/>
    </xf>
    <xf numFmtId="0" fontId="119" fillId="2" borderId="0" xfId="0" quotePrefix="1" applyNumberFormat="1" applyFont="1" applyFill="1" applyBorder="1" applyAlignment="1">
      <alignment horizontal="right" vertical="center" wrapText="1"/>
    </xf>
    <xf numFmtId="0" fontId="139" fillId="2" borderId="0" xfId="0" applyFont="1" applyFill="1" applyBorder="1" applyAlignment="1">
      <alignment vertical="center"/>
    </xf>
    <xf numFmtId="49" fontId="132" fillId="2" borderId="0" xfId="0" quotePrefix="1" applyNumberFormat="1" applyFont="1" applyFill="1" applyBorder="1" applyAlignment="1">
      <alignment horizontal="left" vertical="center"/>
    </xf>
    <xf numFmtId="0" fontId="140" fillId="2" borderId="0" xfId="0" quotePrefix="1" applyNumberFormat="1" applyFont="1" applyFill="1" applyBorder="1" applyAlignment="1">
      <alignment horizontal="left" vertical="center" wrapText="1"/>
    </xf>
    <xf numFmtId="49" fontId="140" fillId="2" borderId="0" xfId="0" quotePrefix="1" applyNumberFormat="1" applyFont="1" applyFill="1" applyBorder="1" applyAlignment="1">
      <alignment vertical="center"/>
    </xf>
    <xf numFmtId="164" fontId="140" fillId="2" borderId="0" xfId="0" quotePrefix="1" applyNumberFormat="1" applyFont="1" applyFill="1" applyBorder="1" applyAlignment="1">
      <alignment horizontal="right" vertical="center"/>
    </xf>
    <xf numFmtId="49" fontId="119" fillId="2" borderId="0" xfId="0" quotePrefix="1" applyNumberFormat="1" applyFont="1" applyFill="1" applyBorder="1" applyAlignment="1">
      <alignment vertical="center"/>
    </xf>
    <xf numFmtId="0" fontId="133" fillId="2" borderId="0" xfId="0" quotePrefix="1" applyNumberFormat="1" applyFont="1" applyFill="1" applyBorder="1" applyAlignment="1">
      <alignment horizontal="right" vertical="center" wrapText="1"/>
    </xf>
    <xf numFmtId="49" fontId="140" fillId="2" borderId="0" xfId="0" quotePrefix="1" applyNumberFormat="1" applyFont="1" applyFill="1" applyBorder="1" applyAlignment="1">
      <alignment horizontal="left" vertical="center"/>
    </xf>
    <xf numFmtId="164" fontId="140" fillId="2" borderId="0" xfId="0" quotePrefix="1" applyNumberFormat="1" applyFont="1" applyFill="1" applyBorder="1" applyAlignment="1">
      <alignment horizontal="right" vertical="center" wrapText="1"/>
    </xf>
    <xf numFmtId="0" fontId="119" fillId="2" borderId="0" xfId="0" quotePrefix="1" applyNumberFormat="1" applyFont="1" applyFill="1" applyBorder="1" applyAlignment="1">
      <alignment horizontal="left" vertical="center" wrapText="1"/>
    </xf>
    <xf numFmtId="167" fontId="55" fillId="0" borderId="30" xfId="0" applyNumberFormat="1" applyFont="1" applyBorder="1" applyAlignment="1">
      <alignment horizontal="center" vertical="top"/>
    </xf>
    <xf numFmtId="0" fontId="97" fillId="18" borderId="7" xfId="0" applyFont="1" applyFill="1" applyBorder="1" applyAlignment="1">
      <alignment horizontal="left" vertical="center"/>
    </xf>
    <xf numFmtId="169" fontId="55" fillId="0" borderId="0" xfId="0" applyNumberFormat="1" applyFont="1" applyBorder="1" applyAlignment="1">
      <alignment horizontal="left" vertical="top" wrapText="1"/>
    </xf>
    <xf numFmtId="171" fontId="57" fillId="0" borderId="34" xfId="0" applyNumberFormat="1" applyFont="1" applyBorder="1" applyAlignment="1">
      <alignment horizontal="left" vertical="top"/>
    </xf>
    <xf numFmtId="0" fontId="57" fillId="0" borderId="34" xfId="0" applyFont="1" applyBorder="1" applyAlignment="1">
      <alignment horizontal="left" vertical="top"/>
    </xf>
    <xf numFmtId="167" fontId="57" fillId="0" borderId="34" xfId="0" applyNumberFormat="1" applyFont="1" applyBorder="1" applyAlignment="1">
      <alignment horizontal="center" vertical="top"/>
    </xf>
    <xf numFmtId="169" fontId="57" fillId="0" borderId="34" xfId="0" applyNumberFormat="1" applyFont="1" applyBorder="1" applyAlignment="1">
      <alignment horizontal="center" vertical="top"/>
    </xf>
    <xf numFmtId="169" fontId="57" fillId="0" borderId="34" xfId="0" applyNumberFormat="1" applyFont="1" applyBorder="1" applyAlignment="1">
      <alignment horizontal="left" vertical="top" wrapText="1"/>
    </xf>
    <xf numFmtId="171" fontId="55" fillId="0" borderId="34" xfId="0" applyNumberFormat="1" applyFont="1" applyBorder="1" applyAlignment="1">
      <alignment horizontal="left" vertical="top"/>
    </xf>
    <xf numFmtId="0" fontId="55" fillId="0" borderId="34" xfId="0" applyFont="1" applyBorder="1" applyAlignment="1">
      <alignment horizontal="left" vertical="top"/>
    </xf>
    <xf numFmtId="167" fontId="56" fillId="0" borderId="34" xfId="0" applyNumberFormat="1" applyFont="1" applyBorder="1" applyAlignment="1">
      <alignment horizontal="center" vertical="top"/>
    </xf>
    <xf numFmtId="169" fontId="55" fillId="0" borderId="34" xfId="0" applyNumberFormat="1" applyFont="1" applyBorder="1" applyAlignment="1">
      <alignment horizontal="center" vertical="top"/>
    </xf>
    <xf numFmtId="169" fontId="55" fillId="0" borderId="34" xfId="0" applyNumberFormat="1" applyFont="1" applyBorder="1" applyAlignment="1">
      <alignment horizontal="left" vertical="top" wrapText="1"/>
    </xf>
    <xf numFmtId="0" fontId="98" fillId="18" borderId="2" xfId="0" applyFont="1" applyFill="1" applyBorder="1" applyAlignment="1">
      <alignment horizontal="left" vertical="center"/>
    </xf>
    <xf numFmtId="0" fontId="141" fillId="42" borderId="0" xfId="0" applyFont="1" applyFill="1" applyAlignment="1">
      <alignment horizontal="left" vertical="center"/>
    </xf>
    <xf numFmtId="165" fontId="6" fillId="4" borderId="6" xfId="0" quotePrefix="1" applyNumberFormat="1" applyFont="1" applyFill="1" applyBorder="1" applyAlignment="1">
      <alignment horizontal="center" textRotation="90" shrinkToFit="1"/>
    </xf>
    <xf numFmtId="165" fontId="6" fillId="4" borderId="11" xfId="0" quotePrefix="1" applyNumberFormat="1" applyFont="1" applyFill="1" applyBorder="1" applyAlignment="1">
      <alignment horizontal="center" textRotation="90" shrinkToFit="1"/>
    </xf>
    <xf numFmtId="165" fontId="6" fillId="19" borderId="6" xfId="0" quotePrefix="1" applyNumberFormat="1" applyFont="1" applyFill="1" applyBorder="1" applyAlignment="1">
      <alignment horizontal="center" textRotation="90" shrinkToFit="1"/>
    </xf>
    <xf numFmtId="165" fontId="6" fillId="19" borderId="11" xfId="0" quotePrefix="1" applyNumberFormat="1" applyFont="1" applyFill="1" applyBorder="1" applyAlignment="1">
      <alignment horizontal="center" textRotation="90" shrinkToFit="1"/>
    </xf>
    <xf numFmtId="165" fontId="37" fillId="4" borderId="6" xfId="0" quotePrefix="1" applyNumberFormat="1" applyFont="1" applyFill="1" applyBorder="1" applyAlignment="1">
      <alignment horizontal="center" textRotation="90" shrinkToFit="1"/>
    </xf>
    <xf numFmtId="165" fontId="37" fillId="4" borderId="11" xfId="0" quotePrefix="1" applyNumberFormat="1" applyFont="1" applyFill="1" applyBorder="1" applyAlignment="1">
      <alignment horizontal="center" textRotation="90" shrinkToFit="1"/>
    </xf>
    <xf numFmtId="165" fontId="60" fillId="19" borderId="6" xfId="0" quotePrefix="1" applyNumberFormat="1" applyFont="1" applyFill="1" applyBorder="1" applyAlignment="1">
      <alignment horizontal="center" textRotation="90" shrinkToFit="1"/>
    </xf>
    <xf numFmtId="165" fontId="60" fillId="19" borderId="11" xfId="0" quotePrefix="1" applyNumberFormat="1" applyFont="1" applyFill="1" applyBorder="1" applyAlignment="1">
      <alignment horizontal="center" textRotation="90" shrinkToFit="1"/>
    </xf>
    <xf numFmtId="165" fontId="36" fillId="4" borderId="6" xfId="0" quotePrefix="1" applyNumberFormat="1" applyFont="1" applyFill="1" applyBorder="1" applyAlignment="1">
      <alignment horizontal="center" textRotation="90" shrinkToFit="1"/>
    </xf>
    <xf numFmtId="165" fontId="36" fillId="4" borderId="11" xfId="0" quotePrefix="1" applyNumberFormat="1" applyFont="1" applyFill="1" applyBorder="1" applyAlignment="1">
      <alignment horizontal="center" textRotation="90" shrinkToFit="1"/>
    </xf>
    <xf numFmtId="0" fontId="64" fillId="18" borderId="1" xfId="0" applyFont="1" applyFill="1" applyBorder="1" applyAlignment="1">
      <alignment horizontal="left" vertical="center"/>
    </xf>
    <xf numFmtId="0" fontId="98" fillId="18" borderId="0" xfId="0" applyFont="1" applyFill="1" applyBorder="1" applyAlignment="1">
      <alignment horizontal="left" vertical="center"/>
    </xf>
    <xf numFmtId="0" fontId="98" fillId="18" borderId="5" xfId="0" applyFont="1" applyFill="1" applyBorder="1" applyAlignment="1">
      <alignment horizontal="left" vertical="center"/>
    </xf>
    <xf numFmtId="0" fontId="64" fillId="18" borderId="3" xfId="0" applyFont="1" applyFill="1" applyBorder="1" applyAlignment="1">
      <alignment horizontal="left" vertical="center"/>
    </xf>
    <xf numFmtId="0" fontId="98" fillId="32" borderId="0" xfId="0" applyFont="1" applyFill="1" applyBorder="1" applyAlignment="1">
      <alignment horizontal="left" vertical="center"/>
    </xf>
    <xf numFmtId="0" fontId="64" fillId="32" borderId="1" xfId="0" applyFont="1" applyFill="1" applyBorder="1" applyAlignment="1">
      <alignment horizontal="left" vertical="center"/>
    </xf>
    <xf numFmtId="0" fontId="98" fillId="32" borderId="0" xfId="0" quotePrefix="1" applyFont="1" applyFill="1" applyBorder="1" applyAlignment="1">
      <alignment horizontal="left" vertical="center"/>
    </xf>
    <xf numFmtId="0" fontId="64" fillId="32" borderId="1" xfId="0" quotePrefix="1" applyFont="1" applyFill="1" applyBorder="1" applyAlignment="1">
      <alignment horizontal="left" vertical="center"/>
    </xf>
    <xf numFmtId="0" fontId="98" fillId="38" borderId="0" xfId="0" applyFont="1" applyFill="1" applyBorder="1" applyAlignment="1">
      <alignment horizontal="left" vertical="center"/>
    </xf>
    <xf numFmtId="0" fontId="64" fillId="38" borderId="1" xfId="0" applyFont="1" applyFill="1" applyBorder="1" applyAlignment="1">
      <alignment horizontal="left" vertical="center"/>
    </xf>
    <xf numFmtId="0" fontId="98" fillId="38" borderId="0" xfId="0" quotePrefix="1" applyFont="1" applyFill="1" applyBorder="1" applyAlignment="1">
      <alignment horizontal="left" vertical="center"/>
    </xf>
    <xf numFmtId="0" fontId="64" fillId="38" borderId="1" xfId="0" quotePrefix="1" applyFont="1" applyFill="1" applyBorder="1" applyAlignment="1">
      <alignment horizontal="left" vertical="center"/>
    </xf>
    <xf numFmtId="0" fontId="64" fillId="18" borderId="1" xfId="0" applyFont="1" applyFill="1" applyBorder="1" applyAlignment="1">
      <alignment vertical="center"/>
    </xf>
    <xf numFmtId="165" fontId="10" fillId="10" borderId="6" xfId="0" quotePrefix="1" applyNumberFormat="1" applyFont="1" applyFill="1" applyBorder="1" applyAlignment="1">
      <alignment horizontal="center" textRotation="90" shrinkToFit="1"/>
    </xf>
    <xf numFmtId="165" fontId="10" fillId="4" borderId="6" xfId="0" quotePrefix="1" applyNumberFormat="1" applyFont="1" applyFill="1" applyBorder="1" applyAlignment="1">
      <alignment horizontal="center" textRotation="90" shrinkToFit="1"/>
    </xf>
    <xf numFmtId="0" fontId="98" fillId="18" borderId="2" xfId="0" applyFont="1" applyFill="1" applyBorder="1" applyAlignment="1">
      <alignment horizontal="left" vertical="center"/>
    </xf>
    <xf numFmtId="165" fontId="10" fillId="19" borderId="6" xfId="0" quotePrefix="1" applyNumberFormat="1" applyFont="1" applyFill="1" applyBorder="1" applyAlignment="1">
      <alignment horizontal="center" textRotation="90" shrinkToFit="1"/>
    </xf>
    <xf numFmtId="165" fontId="38" fillId="4" borderId="6" xfId="0" quotePrefix="1" applyNumberFormat="1" applyFont="1" applyFill="1" applyBorder="1" applyAlignment="1">
      <alignment horizontal="center" textRotation="90" shrinkToFit="1"/>
    </xf>
    <xf numFmtId="0" fontId="98" fillId="32" borderId="5" xfId="0" applyFont="1" applyFill="1" applyBorder="1" applyAlignment="1">
      <alignment horizontal="left" vertical="center"/>
    </xf>
    <xf numFmtId="0" fontId="64" fillId="32" borderId="3" xfId="0" applyFont="1" applyFill="1" applyBorder="1" applyAlignment="1">
      <alignment horizontal="left" vertical="center"/>
    </xf>
    <xf numFmtId="0" fontId="98" fillId="5" borderId="0" xfId="0" applyFont="1" applyFill="1" applyBorder="1" applyAlignment="1">
      <alignment horizontal="left" vertical="center"/>
    </xf>
    <xf numFmtId="0" fontId="64" fillId="5" borderId="1" xfId="0" applyFont="1" applyFill="1" applyBorder="1" applyAlignment="1">
      <alignment horizontal="left" vertical="center"/>
    </xf>
    <xf numFmtId="0" fontId="98" fillId="5" borderId="5" xfId="0" applyFont="1" applyFill="1" applyBorder="1" applyAlignment="1">
      <alignment horizontal="left" vertical="center"/>
    </xf>
    <xf numFmtId="0" fontId="64" fillId="5" borderId="3" xfId="0" applyFont="1" applyFill="1" applyBorder="1" applyAlignment="1">
      <alignment horizontal="left" vertical="center"/>
    </xf>
    <xf numFmtId="0" fontId="98" fillId="38" borderId="5" xfId="0" applyFont="1" applyFill="1" applyBorder="1" applyAlignment="1">
      <alignment horizontal="left" vertical="center"/>
    </xf>
    <xf numFmtId="0" fontId="64" fillId="38" borderId="3" xfId="0" applyFont="1" applyFill="1" applyBorder="1" applyAlignment="1">
      <alignment horizontal="left" vertical="center"/>
    </xf>
    <xf numFmtId="165" fontId="35" fillId="10" borderId="6" xfId="0" quotePrefix="1" applyNumberFormat="1" applyFont="1" applyFill="1" applyBorder="1" applyAlignment="1">
      <alignment horizontal="center" textRotation="90" shrinkToFit="1"/>
    </xf>
    <xf numFmtId="165" fontId="35" fillId="10" borderId="11" xfId="0" quotePrefix="1" applyNumberFormat="1" applyFont="1" applyFill="1" applyBorder="1" applyAlignment="1">
      <alignment horizontal="center" textRotation="90" shrinkToFit="1"/>
    </xf>
    <xf numFmtId="165" fontId="34" fillId="8" borderId="6" xfId="0" quotePrefix="1" applyNumberFormat="1" applyFont="1" applyFill="1" applyBorder="1" applyAlignment="1">
      <alignment horizontal="center" textRotation="90" shrinkToFit="1"/>
    </xf>
    <xf numFmtId="165" fontId="34" fillId="8" borderId="11" xfId="0" quotePrefix="1" applyNumberFormat="1" applyFont="1" applyFill="1" applyBorder="1" applyAlignment="1">
      <alignment horizontal="center" textRotation="90" shrinkToFit="1"/>
    </xf>
    <xf numFmtId="165" fontId="10" fillId="6" borderId="6" xfId="0" quotePrefix="1" applyNumberFormat="1" applyFont="1" applyFill="1" applyBorder="1" applyAlignment="1">
      <alignment horizontal="center" textRotation="90" shrinkToFit="1"/>
    </xf>
    <xf numFmtId="165" fontId="10" fillId="6" borderId="11" xfId="0" quotePrefix="1" applyNumberFormat="1" applyFont="1" applyFill="1" applyBorder="1" applyAlignment="1">
      <alignment horizontal="center" textRotation="90" shrinkToFit="1"/>
    </xf>
    <xf numFmtId="165" fontId="10" fillId="4" borderId="11" xfId="0" quotePrefix="1" applyNumberFormat="1" applyFont="1" applyFill="1" applyBorder="1" applyAlignment="1">
      <alignment horizontal="center" textRotation="90" shrinkToFit="1"/>
    </xf>
    <xf numFmtId="165" fontId="10" fillId="16" borderId="6" xfId="0" quotePrefix="1" applyNumberFormat="1" applyFont="1" applyFill="1" applyBorder="1" applyAlignment="1">
      <alignment horizontal="center" textRotation="90" shrinkToFit="1"/>
    </xf>
    <xf numFmtId="165" fontId="10" fillId="16" borderId="11" xfId="0" quotePrefix="1" applyNumberFormat="1" applyFont="1" applyFill="1" applyBorder="1" applyAlignment="1">
      <alignment horizontal="center" textRotation="90" shrinkToFit="1"/>
    </xf>
    <xf numFmtId="165" fontId="10" fillId="8" borderId="6" xfId="0" quotePrefix="1" applyNumberFormat="1" applyFont="1" applyFill="1" applyBorder="1" applyAlignment="1">
      <alignment horizontal="center" textRotation="90" shrinkToFit="1"/>
    </xf>
    <xf numFmtId="0" fontId="98" fillId="44" borderId="0" xfId="0" applyFont="1" applyFill="1" applyBorder="1" applyAlignment="1">
      <alignment horizontal="left" vertical="center"/>
    </xf>
    <xf numFmtId="0" fontId="64" fillId="44" borderId="1" xfId="0" applyFont="1" applyFill="1" applyBorder="1" applyAlignment="1">
      <alignment horizontal="left" vertical="center"/>
    </xf>
    <xf numFmtId="0" fontId="98" fillId="32" borderId="4" xfId="0" applyFont="1" applyFill="1" applyBorder="1" applyAlignment="1">
      <alignment horizontal="left" vertical="center"/>
    </xf>
    <xf numFmtId="0" fontId="98" fillId="32" borderId="2" xfId="0" applyFont="1" applyFill="1" applyBorder="1" applyAlignment="1">
      <alignment horizontal="left" vertical="center"/>
    </xf>
    <xf numFmtId="0" fontId="98" fillId="38" borderId="2" xfId="0" applyFont="1" applyFill="1" applyBorder="1" applyAlignment="1">
      <alignment horizontal="left" vertical="center"/>
    </xf>
    <xf numFmtId="0" fontId="98" fillId="5" borderId="2" xfId="0" applyFont="1" applyFill="1" applyBorder="1" applyAlignment="1">
      <alignment horizontal="left" vertical="center"/>
    </xf>
    <xf numFmtId="0" fontId="98" fillId="7" borderId="0" xfId="0" applyFont="1" applyFill="1" applyBorder="1" applyAlignment="1">
      <alignment horizontal="left" vertical="center"/>
    </xf>
    <xf numFmtId="0" fontId="64" fillId="7" borderId="1" xfId="0" applyFont="1" applyFill="1" applyBorder="1" applyAlignment="1">
      <alignment horizontal="left" vertical="center"/>
    </xf>
    <xf numFmtId="0" fontId="98" fillId="7" borderId="2" xfId="0" applyFont="1" applyFill="1" applyBorder="1" applyAlignment="1">
      <alignment horizontal="left" vertical="center"/>
    </xf>
    <xf numFmtId="0" fontId="98" fillId="38" borderId="4" xfId="0" applyFont="1" applyFill="1" applyBorder="1" applyAlignment="1">
      <alignment horizontal="left" vertical="center"/>
    </xf>
    <xf numFmtId="0" fontId="98" fillId="5" borderId="4" xfId="0" applyFont="1" applyFill="1" applyBorder="1" applyAlignment="1">
      <alignment horizontal="left" vertical="center"/>
    </xf>
    <xf numFmtId="0" fontId="98" fillId="5" borderId="0" xfId="0" quotePrefix="1" applyFont="1" applyFill="1" applyBorder="1" applyAlignment="1">
      <alignment horizontal="left" vertical="center"/>
    </xf>
    <xf numFmtId="0" fontId="64" fillId="5" borderId="1" xfId="0" quotePrefix="1" applyFont="1" applyFill="1" applyBorder="1" applyAlignment="1">
      <alignment horizontal="left" vertical="center"/>
    </xf>
    <xf numFmtId="0" fontId="98" fillId="7" borderId="4" xfId="0" applyFont="1" applyFill="1" applyBorder="1" applyAlignment="1">
      <alignment horizontal="left" vertical="center"/>
    </xf>
    <xf numFmtId="0" fontId="64" fillId="7" borderId="3" xfId="0" applyFont="1" applyFill="1" applyBorder="1" applyAlignment="1">
      <alignment horizontal="left" vertical="center"/>
    </xf>
    <xf numFmtId="0" fontId="98" fillId="7" borderId="5" xfId="0" applyFont="1" applyFill="1" applyBorder="1" applyAlignment="1">
      <alignment horizontal="left" vertical="center"/>
    </xf>
    <xf numFmtId="0" fontId="98" fillId="7" borderId="0" xfId="0" quotePrefix="1" applyFont="1" applyFill="1" applyBorder="1" applyAlignment="1">
      <alignment horizontal="left" vertical="center"/>
    </xf>
    <xf numFmtId="0" fontId="64" fillId="7" borderId="1" xfId="0" quotePrefix="1" applyFont="1" applyFill="1" applyBorder="1" applyAlignment="1">
      <alignment horizontal="left" vertical="center"/>
    </xf>
    <xf numFmtId="0" fontId="98" fillId="7" borderId="2" xfId="0" applyFont="1" applyFill="1" applyBorder="1" applyAlignment="1">
      <alignment horizontal="center" vertical="center"/>
    </xf>
    <xf numFmtId="0" fontId="64" fillId="7" borderId="1" xfId="0" applyFont="1" applyFill="1" applyBorder="1" applyAlignment="1">
      <alignment horizontal="center" vertical="center"/>
    </xf>
    <xf numFmtId="0" fontId="98" fillId="44" borderId="2" xfId="0" applyFont="1" applyFill="1" applyBorder="1" applyAlignment="1">
      <alignment horizontal="left" vertical="center"/>
    </xf>
    <xf numFmtId="0" fontId="98" fillId="44" borderId="5" xfId="0" applyFont="1" applyFill="1" applyBorder="1" applyAlignment="1">
      <alignment horizontal="left" vertical="center"/>
    </xf>
    <xf numFmtId="0" fontId="64" fillId="44" borderId="3" xfId="0" applyFont="1" applyFill="1" applyBorder="1" applyAlignment="1">
      <alignment horizontal="left" vertical="center"/>
    </xf>
    <xf numFmtId="0" fontId="98" fillId="44" borderId="4" xfId="0" applyFont="1" applyFill="1" applyBorder="1" applyAlignment="1">
      <alignment horizontal="left" vertical="center"/>
    </xf>
    <xf numFmtId="0" fontId="98" fillId="44" borderId="0" xfId="0" quotePrefix="1" applyFont="1" applyFill="1" applyBorder="1" applyAlignment="1">
      <alignment horizontal="left" vertical="center"/>
    </xf>
    <xf numFmtId="0" fontId="64" fillId="44" borderId="1" xfId="0" quotePrefix="1" applyFont="1" applyFill="1" applyBorder="1" applyAlignment="1">
      <alignment horizontal="left" vertical="center"/>
    </xf>
    <xf numFmtId="0" fontId="115" fillId="18" borderId="2" xfId="0" applyFont="1" applyFill="1" applyBorder="1" applyAlignment="1">
      <alignment horizontal="left" vertical="center"/>
    </xf>
    <xf numFmtId="0" fontId="71" fillId="18" borderId="1" xfId="0" applyFont="1" applyFill="1" applyBorder="1" applyAlignment="1">
      <alignment horizontal="left" vertical="center"/>
    </xf>
    <xf numFmtId="0" fontId="98" fillId="18" borderId="4" xfId="0" applyFont="1" applyFill="1" applyBorder="1" applyAlignment="1">
      <alignment horizontal="left" vertical="center"/>
    </xf>
    <xf numFmtId="0" fontId="98" fillId="18" borderId="4" xfId="0" quotePrefix="1" applyFont="1" applyFill="1" applyBorder="1" applyAlignment="1">
      <alignment horizontal="center" vertical="center"/>
    </xf>
    <xf numFmtId="0" fontId="64" fillId="18" borderId="3" xfId="0" applyFont="1" applyFill="1" applyBorder="1" applyAlignment="1">
      <alignment horizontal="center" vertical="center"/>
    </xf>
    <xf numFmtId="0" fontId="98" fillId="18" borderId="0" xfId="0" quotePrefix="1" applyFont="1" applyFill="1" applyBorder="1" applyAlignment="1">
      <alignment horizontal="left" vertical="center"/>
    </xf>
    <xf numFmtId="0" fontId="64" fillId="18" borderId="1" xfId="0" quotePrefix="1" applyFont="1" applyFill="1" applyBorder="1" applyAlignment="1">
      <alignment horizontal="left" vertical="center"/>
    </xf>
    <xf numFmtId="0" fontId="64" fillId="18" borderId="1" xfId="0" quotePrefix="1" applyFont="1" applyFill="1" applyBorder="1" applyAlignment="1">
      <alignment vertical="center"/>
    </xf>
    <xf numFmtId="0" fontId="98" fillId="18" borderId="2" xfId="0" quotePrefix="1" applyFont="1" applyFill="1" applyBorder="1" applyAlignment="1">
      <alignment horizontal="left" vertical="center"/>
    </xf>
    <xf numFmtId="0" fontId="129" fillId="18" borderId="2" xfId="0" applyFont="1" applyFill="1" applyBorder="1" applyAlignment="1">
      <alignment horizontal="center" vertical="center"/>
    </xf>
    <xf numFmtId="0" fontId="78" fillId="18" borderId="1" xfId="0" applyFont="1" applyFill="1" applyBorder="1" applyAlignment="1">
      <alignment horizontal="center" vertical="center"/>
    </xf>
    <xf numFmtId="0" fontId="117" fillId="18" borderId="2" xfId="0" applyFont="1" applyFill="1" applyBorder="1" applyAlignment="1">
      <alignment horizontal="left" vertical="center"/>
    </xf>
    <xf numFmtId="0" fontId="72" fillId="18" borderId="1" xfId="0" applyFont="1" applyFill="1" applyBorder="1" applyAlignment="1">
      <alignment horizontal="left" vertical="center"/>
    </xf>
    <xf numFmtId="49" fontId="119" fillId="2" borderId="0" xfId="0" quotePrefix="1" applyNumberFormat="1" applyFont="1" applyFill="1" applyBorder="1" applyAlignment="1">
      <alignment horizontal="left" vertical="center"/>
    </xf>
    <xf numFmtId="49" fontId="73" fillId="2" borderId="0" xfId="0" quotePrefix="1" applyNumberFormat="1" applyFont="1" applyFill="1" applyBorder="1" applyAlignment="1">
      <alignment horizontal="left" vertical="center"/>
    </xf>
    <xf numFmtId="49" fontId="132" fillId="2" borderId="0" xfId="0" quotePrefix="1" applyNumberFormat="1" applyFont="1" applyFill="1" applyBorder="1" applyAlignment="1">
      <alignment horizontal="left" vertical="center" wrapText="1"/>
    </xf>
    <xf numFmtId="49" fontId="79" fillId="2" borderId="0" xfId="0" quotePrefix="1" applyNumberFormat="1" applyFont="1" applyFill="1" applyBorder="1" applyAlignment="1">
      <alignment horizontal="left" vertical="center" wrapText="1"/>
    </xf>
    <xf numFmtId="0" fontId="98" fillId="14" borderId="20" xfId="0" applyFont="1" applyFill="1" applyBorder="1" applyAlignment="1">
      <alignment horizontal="left" vertical="center"/>
    </xf>
    <xf numFmtId="0" fontId="64" fillId="14" borderId="22" xfId="0" applyFont="1" applyFill="1" applyBorder="1" applyAlignment="1">
      <alignment horizontal="left" vertical="center"/>
    </xf>
    <xf numFmtId="0" fontId="98" fillId="15" borderId="20" xfId="0" applyFont="1" applyFill="1" applyBorder="1" applyAlignment="1">
      <alignment horizontal="left" vertical="center"/>
    </xf>
    <xf numFmtId="0" fontId="64" fillId="15" borderId="22" xfId="0" applyFont="1" applyFill="1" applyBorder="1" applyAlignment="1">
      <alignment horizontal="left" vertical="center"/>
    </xf>
    <xf numFmtId="0" fontId="98" fillId="5" borderId="20" xfId="0" applyFont="1" applyFill="1" applyBorder="1" applyAlignment="1">
      <alignment horizontal="left" vertical="center"/>
    </xf>
    <xf numFmtId="0" fontId="64" fillId="5" borderId="22" xfId="0" applyFont="1" applyFill="1" applyBorder="1" applyAlignment="1">
      <alignment horizontal="left" vertical="center"/>
    </xf>
    <xf numFmtId="0" fontId="98" fillId="38" borderId="20" xfId="0" applyFont="1" applyFill="1" applyBorder="1" applyAlignment="1">
      <alignment horizontal="left" vertical="center"/>
    </xf>
    <xf numFmtId="0" fontId="64" fillId="38" borderId="22" xfId="0" applyFont="1" applyFill="1" applyBorder="1" applyAlignment="1">
      <alignment horizontal="left" vertical="center"/>
    </xf>
    <xf numFmtId="0" fontId="100" fillId="43" borderId="2" xfId="0" applyFont="1" applyFill="1" applyBorder="1" applyAlignment="1">
      <alignment horizontal="left" shrinkToFit="1"/>
    </xf>
    <xf numFmtId="0" fontId="9" fillId="43" borderId="1" xfId="0" applyFont="1" applyFill="1" applyBorder="1" applyAlignment="1">
      <alignment horizontal="left" shrinkToFit="1"/>
    </xf>
    <xf numFmtId="0" fontId="98" fillId="7" borderId="20" xfId="0" applyFont="1" applyFill="1" applyBorder="1" applyAlignment="1">
      <alignment horizontal="left" vertical="center"/>
    </xf>
    <xf numFmtId="0" fontId="64" fillId="7" borderId="22" xfId="0" applyFont="1" applyFill="1" applyBorder="1" applyAlignment="1">
      <alignment horizontal="left" vertical="center"/>
    </xf>
    <xf numFmtId="0" fontId="98" fillId="11" borderId="20" xfId="0" applyFont="1" applyFill="1" applyBorder="1" applyAlignment="1">
      <alignment horizontal="left" vertical="center"/>
    </xf>
    <xf numFmtId="0" fontId="64" fillId="11" borderId="22" xfId="0" applyFont="1" applyFill="1" applyBorder="1" applyAlignment="1">
      <alignment horizontal="left" vertical="center"/>
    </xf>
    <xf numFmtId="0" fontId="98" fillId="37" borderId="20" xfId="0" applyFont="1" applyFill="1" applyBorder="1" applyAlignment="1">
      <alignment horizontal="left" vertical="center"/>
    </xf>
    <xf numFmtId="0" fontId="64" fillId="37" borderId="22" xfId="0" applyFont="1" applyFill="1" applyBorder="1" applyAlignment="1">
      <alignment horizontal="left" vertical="center"/>
    </xf>
    <xf numFmtId="0" fontId="98" fillId="32" borderId="20" xfId="0" applyFont="1" applyFill="1" applyBorder="1" applyAlignment="1">
      <alignment horizontal="left" vertical="center"/>
    </xf>
    <xf numFmtId="0" fontId="64" fillId="32" borderId="22" xfId="0" applyFont="1" applyFill="1" applyBorder="1" applyAlignment="1">
      <alignment horizontal="left" vertical="center"/>
    </xf>
    <xf numFmtId="0" fontId="98" fillId="39" borderId="20" xfId="0" applyFont="1" applyFill="1" applyBorder="1" applyAlignment="1">
      <alignment horizontal="left" vertical="center"/>
    </xf>
    <xf numFmtId="0" fontId="64" fillId="39" borderId="22" xfId="0" applyFont="1" applyFill="1" applyBorder="1" applyAlignment="1">
      <alignment horizontal="left" vertical="center"/>
    </xf>
    <xf numFmtId="0" fontId="108" fillId="18" borderId="0" xfId="0" applyFont="1" applyFill="1" applyBorder="1" applyAlignment="1">
      <alignment horizontal="left" vertical="center"/>
    </xf>
    <xf numFmtId="0" fontId="65" fillId="18" borderId="1" xfId="0" applyFont="1" applyFill="1" applyBorder="1" applyAlignment="1">
      <alignment horizontal="left" vertical="center"/>
    </xf>
    <xf numFmtId="0" fontId="106" fillId="18" borderId="0" xfId="0" applyFont="1" applyFill="1" applyBorder="1" applyAlignment="1">
      <alignment horizontal="left" vertical="center"/>
    </xf>
    <xf numFmtId="0" fontId="108" fillId="18" borderId="2" xfId="0" applyFont="1" applyFill="1" applyBorder="1" applyAlignment="1">
      <alignment horizontal="left" vertical="center"/>
    </xf>
    <xf numFmtId="0" fontId="109" fillId="18" borderId="2" xfId="0" quotePrefix="1" applyFont="1" applyFill="1" applyBorder="1" applyAlignment="1">
      <alignment horizontal="center" vertical="center"/>
    </xf>
    <xf numFmtId="0" fontId="66" fillId="18" borderId="1" xfId="0" applyFont="1" applyFill="1" applyBorder="1" applyAlignment="1">
      <alignment horizontal="center" vertical="center"/>
    </xf>
    <xf numFmtId="0" fontId="109" fillId="18" borderId="2" xfId="0" applyFont="1" applyFill="1" applyBorder="1" applyAlignment="1">
      <alignment horizontal="center" vertical="center" wrapText="1"/>
    </xf>
    <xf numFmtId="0" fontId="66" fillId="18" borderId="2" xfId="0" applyFont="1" applyFill="1" applyBorder="1" applyAlignment="1">
      <alignment horizontal="center" vertical="center"/>
    </xf>
    <xf numFmtId="0" fontId="110" fillId="18" borderId="0" xfId="0" applyFont="1" applyFill="1" applyBorder="1" applyAlignment="1">
      <alignment horizontal="left" vertical="center"/>
    </xf>
    <xf numFmtId="0" fontId="67" fillId="18" borderId="1" xfId="0" applyFont="1" applyFill="1" applyBorder="1" applyAlignment="1">
      <alignment horizontal="left" vertical="center"/>
    </xf>
    <xf numFmtId="0" fontId="110" fillId="18" borderId="2" xfId="0" applyFont="1" applyFill="1" applyBorder="1" applyAlignment="1">
      <alignment horizontal="left" vertical="center"/>
    </xf>
    <xf numFmtId="0" fontId="105" fillId="18" borderId="2" xfId="0" quotePrefix="1" applyFont="1" applyFill="1" applyBorder="1" applyAlignment="1">
      <alignment horizontal="center" vertical="center"/>
    </xf>
    <xf numFmtId="0" fontId="62" fillId="18" borderId="1" xfId="0" applyFont="1" applyFill="1" applyBorder="1" applyAlignment="1">
      <alignment horizontal="center" vertical="center"/>
    </xf>
    <xf numFmtId="0" fontId="106" fillId="18" borderId="2" xfId="0" applyFont="1" applyFill="1" applyBorder="1" applyAlignment="1">
      <alignment horizontal="left" vertical="center"/>
    </xf>
    <xf numFmtId="165" fontId="15" fillId="21" borderId="6" xfId="0" quotePrefix="1" applyNumberFormat="1" applyFont="1" applyFill="1" applyBorder="1" applyAlignment="1">
      <alignment horizontal="center" textRotation="90" shrinkToFit="1"/>
    </xf>
    <xf numFmtId="165" fontId="15" fillId="21" borderId="11" xfId="0" quotePrefix="1" applyNumberFormat="1" applyFont="1" applyFill="1" applyBorder="1" applyAlignment="1">
      <alignment horizontal="center" textRotation="90" shrinkToFit="1"/>
    </xf>
    <xf numFmtId="0" fontId="63" fillId="18" borderId="1" xfId="0" applyFont="1" applyFill="1" applyBorder="1" applyAlignment="1">
      <alignment horizontal="left" vertical="center"/>
    </xf>
    <xf numFmtId="0" fontId="98" fillId="18" borderId="0" xfId="0" quotePrefix="1" applyFont="1" applyFill="1" applyBorder="1" applyAlignment="1">
      <alignment horizontal="center" vertical="center"/>
    </xf>
    <xf numFmtId="0" fontId="64" fillId="18" borderId="1" xfId="0" applyFont="1" applyFill="1" applyBorder="1" applyAlignment="1">
      <alignment horizontal="center" vertical="center"/>
    </xf>
    <xf numFmtId="165" fontId="15" fillId="19" borderId="6" xfId="0" quotePrefix="1" applyNumberFormat="1" applyFont="1" applyFill="1" applyBorder="1" applyAlignment="1">
      <alignment horizontal="center" textRotation="90" shrinkToFit="1"/>
    </xf>
    <xf numFmtId="165" fontId="15" fillId="19" borderId="10" xfId="0" quotePrefix="1" applyNumberFormat="1" applyFont="1" applyFill="1" applyBorder="1" applyAlignment="1">
      <alignment horizontal="center" textRotation="90" shrinkToFit="1"/>
    </xf>
    <xf numFmtId="0" fontId="98" fillId="18" borderId="2" xfId="0" quotePrefix="1" applyFont="1" applyFill="1" applyBorder="1" applyAlignment="1">
      <alignment horizontal="center" vertical="center"/>
    </xf>
    <xf numFmtId="165" fontId="15" fillId="19" borderId="11" xfId="0" quotePrefix="1" applyNumberFormat="1" applyFont="1" applyFill="1" applyBorder="1" applyAlignment="1">
      <alignment horizontal="center" textRotation="90" shrinkToFit="1"/>
    </xf>
    <xf numFmtId="0" fontId="111" fillId="18" borderId="0" xfId="0" quotePrefix="1" applyFont="1" applyFill="1" applyBorder="1" applyAlignment="1">
      <alignment horizontal="center" vertical="center"/>
    </xf>
    <xf numFmtId="0" fontId="68" fillId="18" borderId="1" xfId="0" applyFont="1" applyFill="1" applyBorder="1" applyAlignment="1">
      <alignment horizontal="center" vertical="center"/>
    </xf>
    <xf numFmtId="6" fontId="98" fillId="18" borderId="0" xfId="0" applyNumberFormat="1" applyFont="1" applyFill="1" applyBorder="1" applyAlignment="1">
      <alignment horizontal="left" vertical="center"/>
    </xf>
    <xf numFmtId="165" fontId="15" fillId="21" borderId="10" xfId="0" quotePrefix="1" applyNumberFormat="1" applyFont="1" applyFill="1" applyBorder="1" applyAlignment="1">
      <alignment horizontal="center" textRotation="90" shrinkToFit="1"/>
    </xf>
    <xf numFmtId="0" fontId="108" fillId="18" borderId="4" xfId="0" applyFont="1" applyFill="1" applyBorder="1" applyAlignment="1">
      <alignment horizontal="left" vertical="center"/>
    </xf>
    <xf numFmtId="0" fontId="65" fillId="18" borderId="3" xfId="0" applyFont="1" applyFill="1" applyBorder="1" applyAlignment="1">
      <alignment horizontal="left" vertical="center"/>
    </xf>
    <xf numFmtId="0" fontId="112" fillId="18" borderId="4" xfId="0" applyFont="1" applyFill="1" applyBorder="1" applyAlignment="1">
      <alignment horizontal="left" vertical="center"/>
    </xf>
    <xf numFmtId="0" fontId="106" fillId="18" borderId="5" xfId="0" applyFont="1" applyFill="1" applyBorder="1" applyAlignment="1">
      <alignment horizontal="left" vertical="center"/>
    </xf>
    <xf numFmtId="0" fontId="63" fillId="18" borderId="3" xfId="0" applyFont="1" applyFill="1" applyBorder="1" applyAlignment="1">
      <alignment horizontal="left" vertical="center"/>
    </xf>
    <xf numFmtId="0" fontId="106" fillId="18" borderId="4" xfId="0" applyFont="1" applyFill="1" applyBorder="1" applyAlignment="1">
      <alignment horizontal="left" vertical="center"/>
    </xf>
    <xf numFmtId="0" fontId="106" fillId="18" borderId="0" xfId="0" quotePrefix="1" applyFont="1" applyFill="1" applyBorder="1" applyAlignment="1">
      <alignment horizontal="center" vertical="center"/>
    </xf>
    <xf numFmtId="20" fontId="64" fillId="18" borderId="1" xfId="0" applyNumberFormat="1" applyFont="1" applyFill="1" applyBorder="1" applyAlignment="1">
      <alignment vertical="center"/>
    </xf>
    <xf numFmtId="0" fontId="64" fillId="18" borderId="1" xfId="0" quotePrefix="1" applyFont="1" applyFill="1" applyBorder="1" applyAlignment="1">
      <alignment horizontal="center" vertical="center"/>
    </xf>
    <xf numFmtId="0" fontId="98" fillId="18" borderId="2" xfId="0" applyFont="1" applyFill="1" applyBorder="1" applyAlignment="1">
      <alignment horizontal="center" vertical="center"/>
    </xf>
    <xf numFmtId="0" fontId="64" fillId="18" borderId="0" xfId="0" applyFont="1" applyFill="1" applyBorder="1" applyAlignment="1">
      <alignment horizontal="left" vertical="center"/>
    </xf>
    <xf numFmtId="0" fontId="108" fillId="18" borderId="5" xfId="0" applyFont="1" applyFill="1" applyBorder="1" applyAlignment="1">
      <alignment horizontal="left" vertical="center"/>
    </xf>
    <xf numFmtId="0" fontId="65" fillId="18" borderId="5" xfId="0" applyFont="1" applyFill="1" applyBorder="1" applyAlignment="1">
      <alignment horizontal="left" vertical="center"/>
    </xf>
    <xf numFmtId="0" fontId="113" fillId="18" borderId="2" xfId="0" applyFont="1" applyFill="1" applyBorder="1" applyAlignment="1">
      <alignment horizontal="left" vertical="center"/>
    </xf>
    <xf numFmtId="6" fontId="64" fillId="18" borderId="1" xfId="0" applyNumberFormat="1" applyFont="1" applyFill="1" applyBorder="1" applyAlignment="1">
      <alignment horizontal="left" vertical="center"/>
    </xf>
    <xf numFmtId="0" fontId="105" fillId="18" borderId="0" xfId="0" quotePrefix="1" applyFont="1" applyFill="1" applyBorder="1" applyAlignment="1">
      <alignment horizontal="center" vertical="center"/>
    </xf>
    <xf numFmtId="0" fontId="62" fillId="18" borderId="1" xfId="0" quotePrefix="1" applyFont="1" applyFill="1" applyBorder="1" applyAlignment="1">
      <alignment horizontal="center" vertical="center"/>
    </xf>
    <xf numFmtId="0" fontId="98" fillId="18" borderId="2" xfId="0" applyFont="1" applyFill="1" applyBorder="1" applyAlignment="1">
      <alignment horizontal="left" vertical="center" wrapText="1"/>
    </xf>
    <xf numFmtId="0" fontId="98" fillId="18" borderId="5" xfId="0" applyFont="1" applyFill="1" applyBorder="1" applyAlignment="1">
      <alignment horizontal="left" vertical="center" wrapText="1"/>
    </xf>
    <xf numFmtId="0" fontId="63" fillId="18" borderId="1" xfId="0" quotePrefix="1" applyFont="1" applyFill="1" applyBorder="1" applyAlignment="1">
      <alignment horizontal="center" vertical="center"/>
    </xf>
    <xf numFmtId="0" fontId="98" fillId="18" borderId="4" xfId="0" applyFont="1" applyFill="1" applyBorder="1" applyAlignment="1">
      <alignment horizontal="left" vertical="center" wrapText="1"/>
    </xf>
    <xf numFmtId="0" fontId="114" fillId="18" borderId="2" xfId="0" applyFont="1" applyFill="1" applyBorder="1" applyAlignment="1">
      <alignment horizontal="left" vertical="center"/>
    </xf>
    <xf numFmtId="0" fontId="70" fillId="18" borderId="1" xfId="0" applyFont="1" applyFill="1" applyBorder="1" applyAlignment="1">
      <alignment horizontal="left" vertical="center"/>
    </xf>
    <xf numFmtId="0" fontId="106" fillId="18" borderId="0" xfId="0" quotePrefix="1" applyFont="1" applyFill="1" applyBorder="1" applyAlignment="1">
      <alignment horizontal="left" vertical="center"/>
    </xf>
    <xf numFmtId="0" fontId="63" fillId="18" borderId="1" xfId="0" quotePrefix="1" applyFont="1" applyFill="1" applyBorder="1" applyAlignment="1">
      <alignment horizontal="left" vertical="center"/>
    </xf>
    <xf numFmtId="20" fontId="64" fillId="18" borderId="1" xfId="0" applyNumberFormat="1" applyFont="1" applyFill="1" applyBorder="1" applyAlignment="1">
      <alignment horizontal="left" vertical="center"/>
    </xf>
    <xf numFmtId="0" fontId="98" fillId="18" borderId="4" xfId="0" quotePrefix="1" applyFont="1" applyFill="1" applyBorder="1" applyAlignment="1">
      <alignment horizontal="left" vertical="center"/>
    </xf>
    <xf numFmtId="0" fontId="64" fillId="18" borderId="3" xfId="0" quotePrefix="1" applyFont="1" applyFill="1" applyBorder="1" applyAlignment="1">
      <alignment horizontal="left" vertical="center"/>
    </xf>
    <xf numFmtId="6" fontId="98" fillId="18" borderId="0" xfId="0" applyNumberFormat="1" applyFont="1" applyFill="1" applyBorder="1" applyAlignment="1">
      <alignment horizontal="left" vertical="center" wrapText="1"/>
    </xf>
    <xf numFmtId="0" fontId="98" fillId="18" borderId="0" xfId="0" applyFont="1" applyFill="1" applyBorder="1" applyAlignment="1">
      <alignment horizontal="left" vertical="center" wrapText="1"/>
    </xf>
    <xf numFmtId="0" fontId="98" fillId="18" borderId="0" xfId="0" quotePrefix="1" applyFont="1" applyFill="1" applyBorder="1" applyAlignment="1">
      <alignment horizontal="left" vertical="center" wrapText="1"/>
    </xf>
    <xf numFmtId="20" fontId="98" fillId="18" borderId="2" xfId="0" applyNumberFormat="1" applyFont="1" applyFill="1" applyBorder="1" applyAlignment="1">
      <alignment horizontal="center" vertical="center"/>
    </xf>
    <xf numFmtId="0" fontId="98" fillId="18" borderId="2" xfId="0" quotePrefix="1" applyFont="1" applyFill="1" applyBorder="1" applyAlignment="1">
      <alignment horizontal="left" vertical="center" wrapText="1"/>
    </xf>
    <xf numFmtId="0" fontId="98" fillId="18" borderId="4" xfId="0" applyFont="1" applyFill="1" applyBorder="1" applyAlignment="1">
      <alignment horizontal="center" vertical="center"/>
    </xf>
    <xf numFmtId="6" fontId="98" fillId="18" borderId="2" xfId="0" applyNumberFormat="1" applyFont="1" applyFill="1" applyBorder="1" applyAlignment="1">
      <alignment horizontal="left" vertical="center"/>
    </xf>
    <xf numFmtId="0" fontId="109" fillId="18" borderId="2" xfId="0" applyFont="1" applyFill="1" applyBorder="1" applyAlignment="1">
      <alignment horizontal="left" vertical="center"/>
    </xf>
    <xf numFmtId="0" fontId="66" fillId="18" borderId="1" xfId="0" applyFont="1" applyFill="1" applyBorder="1" applyAlignment="1">
      <alignment horizontal="left" vertical="center"/>
    </xf>
    <xf numFmtId="165" fontId="11" fillId="21" borderId="6" xfId="0" quotePrefix="1" applyNumberFormat="1" applyFont="1" applyFill="1" applyBorder="1" applyAlignment="1">
      <alignment horizontal="center" textRotation="90" shrinkToFit="1"/>
    </xf>
    <xf numFmtId="165" fontId="11" fillId="21" borderId="11" xfId="0" quotePrefix="1" applyNumberFormat="1" applyFont="1" applyFill="1" applyBorder="1" applyAlignment="1">
      <alignment horizontal="center" textRotation="90" shrinkToFit="1"/>
    </xf>
    <xf numFmtId="164" fontId="71" fillId="18" borderId="1" xfId="0" applyNumberFormat="1" applyFont="1" applyFill="1" applyBorder="1" applyAlignment="1">
      <alignment horizontal="left" vertical="center"/>
    </xf>
    <xf numFmtId="165" fontId="11" fillId="19" borderId="6" xfId="0" quotePrefix="1" applyNumberFormat="1" applyFont="1" applyFill="1" applyBorder="1" applyAlignment="1">
      <alignment horizontal="center" textRotation="90" shrinkToFit="1"/>
    </xf>
    <xf numFmtId="165" fontId="11" fillId="19" borderId="11" xfId="0" quotePrefix="1" applyNumberFormat="1" applyFont="1" applyFill="1" applyBorder="1" applyAlignment="1">
      <alignment horizontal="center" textRotation="90" shrinkToFit="1"/>
    </xf>
    <xf numFmtId="0" fontId="119" fillId="18" borderId="2" xfId="0" applyFont="1" applyFill="1" applyBorder="1" applyAlignment="1">
      <alignment horizontal="center" vertical="center"/>
    </xf>
    <xf numFmtId="0" fontId="73" fillId="18" borderId="1" xfId="0" applyFont="1" applyFill="1" applyBorder="1" applyAlignment="1">
      <alignment horizontal="center" vertical="center"/>
    </xf>
    <xf numFmtId="0" fontId="71" fillId="18" borderId="1" xfId="0" quotePrefix="1" applyFont="1" applyFill="1" applyBorder="1" applyAlignment="1">
      <alignment horizontal="left" vertical="center"/>
    </xf>
    <xf numFmtId="165" fontId="11" fillId="21" borderId="0" xfId="0" quotePrefix="1" applyNumberFormat="1" applyFont="1" applyFill="1" applyBorder="1" applyAlignment="1">
      <alignment horizontal="center" textRotation="90" shrinkToFit="1"/>
    </xf>
    <xf numFmtId="165" fontId="11" fillId="21" borderId="1" xfId="0" quotePrefix="1" applyNumberFormat="1" applyFont="1" applyFill="1" applyBorder="1" applyAlignment="1">
      <alignment horizontal="center" textRotation="90" shrinkToFit="1"/>
    </xf>
    <xf numFmtId="0" fontId="121" fillId="18" borderId="2" xfId="0" applyFont="1" applyFill="1" applyBorder="1" applyAlignment="1">
      <alignment horizontal="left" vertical="center"/>
    </xf>
    <xf numFmtId="0" fontId="98" fillId="18" borderId="2" xfId="0" applyFont="1" applyFill="1" applyBorder="1" applyAlignment="1">
      <alignment horizontal="left" vertical="center" shrinkToFit="1"/>
    </xf>
    <xf numFmtId="0" fontId="64" fillId="18" borderId="1" xfId="0" applyFont="1" applyFill="1" applyBorder="1" applyAlignment="1">
      <alignment horizontal="left" vertical="center" shrinkToFit="1"/>
    </xf>
    <xf numFmtId="165" fontId="11" fillId="2" borderId="6" xfId="0" quotePrefix="1" applyNumberFormat="1" applyFont="1" applyFill="1" applyBorder="1" applyAlignment="1">
      <alignment horizontal="center" textRotation="90" shrinkToFit="1"/>
    </xf>
    <xf numFmtId="49" fontId="98" fillId="18" borderId="2" xfId="0" applyNumberFormat="1" applyFont="1" applyFill="1" applyBorder="1" applyAlignment="1">
      <alignment horizontal="left" vertical="center"/>
    </xf>
    <xf numFmtId="49" fontId="64" fillId="18" borderId="1" xfId="0" applyNumberFormat="1" applyFont="1" applyFill="1" applyBorder="1" applyAlignment="1">
      <alignment horizontal="left" vertical="center"/>
    </xf>
    <xf numFmtId="0" fontId="106" fillId="18" borderId="2" xfId="0" applyFont="1" applyFill="1" applyBorder="1" applyAlignment="1">
      <alignment horizontal="center" vertical="center"/>
    </xf>
    <xf numFmtId="0" fontId="63" fillId="18" borderId="1" xfId="0" applyFont="1" applyFill="1" applyBorder="1" applyAlignment="1">
      <alignment horizontal="center" vertical="center"/>
    </xf>
    <xf numFmtId="0" fontId="64" fillId="18" borderId="0" xfId="0" applyFont="1" applyFill="1" applyAlignment="1">
      <alignment vertical="center"/>
    </xf>
    <xf numFmtId="0" fontId="106" fillId="18" borderId="0" xfId="0" applyFont="1" applyFill="1" applyBorder="1" applyAlignment="1">
      <alignment horizontal="center" vertical="center"/>
    </xf>
    <xf numFmtId="165" fontId="17" fillId="19" borderId="10" xfId="0" quotePrefix="1" applyNumberFormat="1" applyFont="1" applyFill="1" applyBorder="1" applyAlignment="1">
      <alignment horizontal="center" textRotation="90" shrinkToFit="1"/>
    </xf>
    <xf numFmtId="165" fontId="17" fillId="19" borderId="6" xfId="0" quotePrefix="1" applyNumberFormat="1" applyFont="1" applyFill="1" applyBorder="1" applyAlignment="1">
      <alignment horizontal="center" textRotation="90" shrinkToFit="1"/>
    </xf>
    <xf numFmtId="165" fontId="11" fillId="19" borderId="1" xfId="0" quotePrefix="1" applyNumberFormat="1" applyFont="1" applyFill="1" applyBorder="1" applyAlignment="1">
      <alignment horizontal="center" textRotation="90" shrinkToFit="1"/>
    </xf>
    <xf numFmtId="165" fontId="6" fillId="19" borderId="1" xfId="0" quotePrefix="1" applyNumberFormat="1" applyFont="1" applyFill="1" applyBorder="1" applyAlignment="1">
      <alignment horizontal="center" textRotation="90" shrinkToFit="1"/>
    </xf>
    <xf numFmtId="165" fontId="6" fillId="19" borderId="3" xfId="0" quotePrefix="1" applyNumberFormat="1" applyFont="1" applyFill="1" applyBorder="1" applyAlignment="1">
      <alignment horizontal="center" textRotation="90" shrinkToFit="1"/>
    </xf>
    <xf numFmtId="0" fontId="74" fillId="18" borderId="3" xfId="0" applyFont="1" applyFill="1" applyBorder="1" applyAlignment="1">
      <alignment horizontal="left" vertical="center"/>
    </xf>
    <xf numFmtId="0" fontId="124" fillId="18" borderId="4" xfId="0" applyFont="1" applyFill="1" applyBorder="1" applyAlignment="1">
      <alignment horizontal="left" vertical="center"/>
    </xf>
    <xf numFmtId="165" fontId="6" fillId="2" borderId="6" xfId="0" quotePrefix="1" applyNumberFormat="1" applyFont="1" applyFill="1" applyBorder="1" applyAlignment="1">
      <alignment horizontal="center" textRotation="90" shrinkToFit="1"/>
    </xf>
    <xf numFmtId="165" fontId="16" fillId="20" borderId="6" xfId="0" quotePrefix="1" applyNumberFormat="1" applyFont="1" applyFill="1" applyBorder="1" applyAlignment="1">
      <alignment horizontal="center" textRotation="90" shrinkToFit="1"/>
    </xf>
    <xf numFmtId="165" fontId="11" fillId="20" borderId="1" xfId="0" quotePrefix="1" applyNumberFormat="1" applyFont="1" applyFill="1" applyBorder="1" applyAlignment="1">
      <alignment horizontal="center" textRotation="90" shrinkToFit="1"/>
    </xf>
    <xf numFmtId="165" fontId="15" fillId="20" borderId="6" xfId="0" quotePrefix="1" applyNumberFormat="1" applyFont="1" applyFill="1" applyBorder="1" applyAlignment="1">
      <alignment horizontal="center" textRotation="90" shrinkToFit="1"/>
    </xf>
    <xf numFmtId="165" fontId="6" fillId="19" borderId="10" xfId="0" quotePrefix="1" applyNumberFormat="1" applyFont="1" applyFill="1" applyBorder="1" applyAlignment="1">
      <alignment horizontal="center" textRotation="90" shrinkToFit="1"/>
    </xf>
    <xf numFmtId="0" fontId="125" fillId="18" borderId="0" xfId="0" quotePrefix="1" applyFont="1" applyFill="1" applyBorder="1" applyAlignment="1">
      <alignment horizontal="left" vertical="center"/>
    </xf>
    <xf numFmtId="0" fontId="75" fillId="18" borderId="1" xfId="0" quotePrefix="1" applyFont="1" applyFill="1" applyBorder="1" applyAlignment="1">
      <alignment horizontal="left" vertical="center"/>
    </xf>
    <xf numFmtId="0" fontId="126" fillId="18" borderId="2" xfId="0" applyFont="1" applyFill="1" applyBorder="1" applyAlignment="1">
      <alignment horizontal="left" vertical="center"/>
    </xf>
    <xf numFmtId="0" fontId="76" fillId="18" borderId="1" xfId="0" applyFont="1" applyFill="1" applyBorder="1" applyAlignment="1">
      <alignment horizontal="left" vertical="center"/>
    </xf>
    <xf numFmtId="0" fontId="125" fillId="18" borderId="2" xfId="0" applyFont="1" applyFill="1" applyBorder="1" applyAlignment="1">
      <alignment horizontal="left" vertical="center"/>
    </xf>
    <xf numFmtId="0" fontId="75" fillId="18" borderId="1" xfId="0" applyFont="1" applyFill="1" applyBorder="1" applyAlignment="1">
      <alignment horizontal="left" vertical="center"/>
    </xf>
    <xf numFmtId="165" fontId="6" fillId="20" borderId="10" xfId="0" quotePrefix="1" applyNumberFormat="1" applyFont="1" applyFill="1" applyBorder="1" applyAlignment="1">
      <alignment horizontal="center" textRotation="90" shrinkToFit="1"/>
    </xf>
    <xf numFmtId="165" fontId="6" fillId="20" borderId="6" xfId="0" quotePrefix="1" applyNumberFormat="1" applyFont="1" applyFill="1" applyBorder="1" applyAlignment="1">
      <alignment horizontal="center" textRotation="90" shrinkToFit="1"/>
    </xf>
    <xf numFmtId="0" fontId="114" fillId="18" borderId="2" xfId="2" applyFont="1" applyFill="1" applyBorder="1" applyAlignment="1">
      <alignment horizontal="left" vertical="center"/>
    </xf>
    <xf numFmtId="0" fontId="127" fillId="18" borderId="0" xfId="0" applyFont="1" applyFill="1" applyBorder="1" applyAlignment="1">
      <alignment horizontal="center" vertical="center"/>
    </xf>
    <xf numFmtId="0" fontId="77" fillId="18" borderId="1" xfId="0" applyFont="1" applyFill="1" applyBorder="1" applyAlignment="1">
      <alignment horizontal="center" vertical="center"/>
    </xf>
    <xf numFmtId="6" fontId="71" fillId="18" borderId="1" xfId="0" applyNumberFormat="1" applyFont="1" applyFill="1" applyBorder="1" applyAlignment="1">
      <alignment horizontal="left" vertical="center"/>
    </xf>
    <xf numFmtId="165" fontId="128" fillId="20" borderId="6" xfId="0" quotePrefix="1" applyNumberFormat="1" applyFont="1" applyFill="1" applyBorder="1" applyAlignment="1">
      <alignment horizontal="center" textRotation="90" shrinkToFit="1"/>
    </xf>
    <xf numFmtId="165" fontId="12" fillId="20" borderId="6" xfId="0" quotePrefix="1" applyNumberFormat="1" applyFont="1" applyFill="1" applyBorder="1" applyAlignment="1">
      <alignment horizontal="center" textRotation="90" shrinkToFit="1"/>
    </xf>
    <xf numFmtId="0" fontId="98" fillId="18" borderId="2" xfId="0" applyFont="1" applyFill="1" applyBorder="1" applyAlignment="1">
      <alignment vertical="center" wrapText="1"/>
    </xf>
    <xf numFmtId="0" fontId="64" fillId="18" borderId="3" xfId="0" applyFont="1" applyFill="1" applyBorder="1" applyAlignment="1">
      <alignment vertical="center"/>
    </xf>
    <xf numFmtId="165" fontId="6" fillId="20" borderId="11" xfId="0" quotePrefix="1" applyNumberFormat="1" applyFont="1" applyFill="1" applyBorder="1" applyAlignment="1">
      <alignment horizontal="center" textRotation="90" shrinkToFit="1"/>
    </xf>
    <xf numFmtId="20" fontId="98" fillId="18" borderId="2" xfId="0" applyNumberFormat="1" applyFont="1" applyFill="1" applyBorder="1" applyAlignment="1">
      <alignment vertical="center"/>
    </xf>
    <xf numFmtId="20" fontId="98" fillId="18" borderId="2" xfId="0" applyNumberFormat="1" applyFont="1" applyFill="1" applyBorder="1" applyAlignment="1">
      <alignment horizontal="left" vertical="center"/>
    </xf>
    <xf numFmtId="14" fontId="98" fillId="18" borderId="2" xfId="0" applyNumberFormat="1" applyFont="1" applyFill="1" applyBorder="1" applyAlignment="1">
      <alignment horizontal="left" vertical="center"/>
    </xf>
    <xf numFmtId="0" fontId="98" fillId="18" borderId="0" xfId="0" applyFont="1" applyFill="1" applyAlignment="1">
      <alignment vertical="center"/>
    </xf>
    <xf numFmtId="0" fontId="98" fillId="18" borderId="4" xfId="0" applyFont="1" applyFill="1" applyBorder="1" applyAlignment="1">
      <alignment vertical="center" wrapText="1"/>
    </xf>
    <xf numFmtId="0" fontId="98" fillId="18" borderId="0" xfId="0" applyFont="1" applyFill="1" applyBorder="1" applyAlignment="1">
      <alignment vertical="center"/>
    </xf>
    <xf numFmtId="0" fontId="98" fillId="18" borderId="0" xfId="0" quotePrefix="1" applyFont="1" applyFill="1" applyBorder="1" applyAlignment="1">
      <alignment vertical="center"/>
    </xf>
    <xf numFmtId="164" fontId="98" fillId="18" borderId="2" xfId="0" applyNumberFormat="1" applyFont="1" applyFill="1" applyBorder="1" applyAlignment="1">
      <alignment horizontal="left" vertical="center"/>
    </xf>
    <xf numFmtId="0" fontId="132" fillId="2" borderId="0" xfId="0" quotePrefix="1" applyNumberFormat="1" applyFont="1" applyFill="1" applyBorder="1" applyAlignment="1">
      <alignment horizontal="right" vertical="center" wrapText="1" indent="1"/>
    </xf>
    <xf numFmtId="0" fontId="142" fillId="40" borderId="0" xfId="0" applyFont="1" applyFill="1" applyBorder="1" applyAlignment="1">
      <alignment vertical="top"/>
    </xf>
    <xf numFmtId="0" fontId="142" fillId="2" borderId="0" xfId="0" applyFont="1" applyFill="1" applyBorder="1" applyAlignment="1">
      <alignment vertical="top"/>
    </xf>
    <xf numFmtId="0" fontId="4" fillId="2" borderId="0" xfId="0" applyFont="1" applyFill="1" applyBorder="1" applyAlignment="1">
      <alignment vertical="top" wrapText="1"/>
    </xf>
    <xf numFmtId="168" fontId="64" fillId="23" borderId="0" xfId="1" applyNumberFormat="1" applyFont="1" applyFill="1" applyBorder="1" applyAlignment="1">
      <alignment horizontal="right" shrinkToFit="1"/>
    </xf>
  </cellXfs>
  <cellStyles count="3">
    <cellStyle name="Currency" xfId="1" builtinId="4"/>
    <cellStyle name="Hyperlink" xfId="2" builtinId="8"/>
    <cellStyle name="Normal" xfId="0" builtinId="0"/>
  </cellStyles>
  <dxfs count="159"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theme="2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theme="2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theme="2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theme="2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theme="2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theme="2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theme="2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theme="2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theme="2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theme="2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theme="2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theme="2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theme="2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theme="2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theme="2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404040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theme="2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theme="2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theme="2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404040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theme="2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theme="2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theme="2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theme="2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theme="2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theme="2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theme="2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theme="2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b val="0"/>
        <i val="0"/>
        <color theme="8" tint="-0.24994659260841701"/>
      </font>
      <fill>
        <patternFill patternType="darkUp">
          <fgColor theme="4" tint="0.79998168889431442"/>
          <bgColor theme="0"/>
        </patternFill>
      </fill>
      <border>
        <top style="thin">
          <color theme="4" tint="-0.24994659260841701"/>
        </top>
        <bottom style="thin">
          <color theme="4" tint="-0.24994659260841701"/>
        </bottom>
        <vertical/>
        <horizontal/>
      </border>
    </dxf>
    <dxf>
      <font>
        <b val="0"/>
        <i val="0"/>
        <color rgb="FF58267E"/>
      </font>
      <fill>
        <patternFill patternType="lightUp">
          <fgColor theme="8" tint="0.39991454817346722"/>
          <bgColor rgb="FFDCC5ED"/>
        </patternFill>
      </fill>
      <border>
        <top style="thin">
          <color rgb="FF7030A0"/>
        </top>
        <bottom style="thin">
          <color rgb="FF7030A0"/>
        </bottom>
        <vertical/>
        <horizontal/>
      </border>
    </dxf>
    <dxf>
      <font>
        <b val="0"/>
        <i/>
        <color rgb="FF7030A0"/>
      </font>
      <fill>
        <patternFill patternType="solid">
          <bgColor rgb="FFDEC8EE"/>
        </patternFill>
      </fill>
      <border>
        <top style="thin">
          <color rgb="FF58267E"/>
        </top>
        <bottom style="thin">
          <color rgb="FF58267E"/>
        </bottom>
        <vertical/>
        <horizontal/>
      </border>
    </dxf>
    <dxf>
      <font>
        <color theme="9" tint="-0.499984740745262"/>
      </font>
      <fill>
        <patternFill patternType="solid">
          <bgColor theme="9" tint="0.79995117038483843"/>
        </patternFill>
      </fill>
      <border>
        <top style="thin">
          <color theme="9" tint="-0.499984740745262"/>
        </top>
        <bottom style="thin">
          <color theme="9" tint="-0.499984740745262"/>
        </bottom>
        <vertical/>
        <horizontal/>
      </border>
    </dxf>
    <dxf>
      <font>
        <b val="0"/>
        <i val="0"/>
        <color rgb="FF920000"/>
      </font>
      <fill>
        <patternFill patternType="solid">
          <bgColor rgb="FFFFC9C9"/>
        </patternFill>
      </fill>
      <border>
        <top style="thin">
          <color rgb="FF920000"/>
        </top>
        <bottom style="thin">
          <color rgb="FF920000"/>
        </bottom>
        <vertical/>
        <horizontal/>
      </border>
    </dxf>
    <dxf>
      <font>
        <b val="0"/>
        <i val="0"/>
        <color theme="8" tint="-0.499984740745262"/>
      </font>
      <fill>
        <patternFill patternType="solid">
          <bgColor theme="4" tint="0.79995117038483843"/>
        </patternFill>
      </fill>
      <border>
        <top style="thin">
          <color theme="8" tint="-0.24994659260841701"/>
        </top>
        <bottom style="thin">
          <color theme="8" tint="-0.24994659260841701"/>
        </bottom>
        <vertical/>
        <horizontal/>
      </border>
    </dxf>
    <dxf>
      <font>
        <b val="0"/>
        <i val="0"/>
        <color theme="5" tint="-0.499984740745262"/>
      </font>
      <fill>
        <patternFill patternType="solid">
          <bgColor rgb="FFFFD597"/>
        </patternFill>
      </fill>
      <border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b/>
        <i val="0"/>
        <color rgb="FF2DC8FF"/>
      </font>
      <fill>
        <patternFill patternType="solid">
          <bgColor theme="8" tint="-0.499984740745262"/>
        </patternFill>
      </fill>
      <border>
        <top style="thin">
          <color rgb="FF2DC8FF"/>
        </top>
        <bottom style="thin">
          <color rgb="FF2DC8FF"/>
        </bottom>
        <vertical/>
        <horizontal/>
      </border>
    </dxf>
    <dxf>
      <font>
        <b/>
        <i val="0"/>
        <color rgb="FF2DC8FF"/>
      </font>
      <fill>
        <patternFill patternType="solid">
          <fgColor theme="2" tint="-0.499984740745262"/>
          <bgColor theme="1" tint="4.9989318521683403E-2"/>
        </patternFill>
      </fill>
      <border>
        <top style="thin">
          <color rgb="FF2DC8FF"/>
        </top>
        <bottom style="thin">
          <color rgb="FF2DC8FF"/>
        </bottom>
        <vertical/>
        <horizontal/>
      </border>
    </dxf>
    <dxf>
      <font>
        <color rgb="FF373F57"/>
      </font>
      <fill>
        <patternFill patternType="solid">
          <bgColor theme="0"/>
        </patternFill>
      </fill>
      <border>
        <top style="thin">
          <color rgb="FF373F57"/>
        </top>
        <bottom style="thin">
          <color rgb="FF373F57"/>
        </bottom>
      </border>
    </dxf>
    <dxf>
      <font>
        <b val="0"/>
        <i val="0"/>
        <color rgb="FFFF0000"/>
      </font>
      <fill>
        <patternFill patternType="solid">
          <bgColor theme="0"/>
        </patternFill>
      </fill>
      <border>
        <top style="thin">
          <color rgb="FF373F57"/>
        </top>
        <bottom style="thin">
          <color rgb="FF373F57"/>
        </bottom>
      </border>
    </dxf>
    <dxf>
      <font>
        <color theme="0"/>
      </font>
      <fill>
        <patternFill patternType="solid">
          <bgColor rgb="FFC00000"/>
        </patternFill>
      </fill>
      <border>
        <vertical/>
        <horizontal/>
      </border>
    </dxf>
    <dxf>
      <font>
        <b val="0"/>
        <i val="0"/>
        <color theme="7" tint="-0.499984740745262"/>
      </font>
      <fill>
        <patternFill patternType="solid">
          <bgColor rgb="FFFFFF99"/>
        </patternFill>
      </fill>
      <border>
        <top style="thin">
          <color theme="7" tint="-0.499984740745262"/>
        </top>
        <bottom style="thin">
          <color theme="7" tint="-0.499984740745262"/>
        </bottom>
        <vertical/>
        <horizontal/>
      </border>
    </dxf>
    <dxf>
      <font>
        <b val="0"/>
        <i val="0"/>
        <color theme="7"/>
      </font>
      <fill>
        <patternFill patternType="solid">
          <bgColor theme="1"/>
        </patternFill>
      </fill>
    </dxf>
    <dxf>
      <font>
        <b val="0"/>
        <i val="0"/>
        <color theme="8" tint="-0.24994659260841701"/>
      </font>
      <fill>
        <patternFill patternType="darkUp">
          <fgColor theme="4" tint="0.79998168889431442"/>
          <bgColor theme="0"/>
        </patternFill>
      </fill>
      <border>
        <top style="thin">
          <color theme="4" tint="-0.24994659260841701"/>
        </top>
        <bottom style="thin">
          <color theme="4" tint="-0.24994659260841701"/>
        </bottom>
        <vertical/>
        <horizontal/>
      </border>
    </dxf>
    <dxf>
      <font>
        <b val="0"/>
        <i val="0"/>
        <color rgb="FF58267E"/>
      </font>
      <fill>
        <patternFill patternType="lightUp">
          <fgColor theme="8" tint="0.39991454817346722"/>
          <bgColor rgb="FFDCC5ED"/>
        </patternFill>
      </fill>
      <border>
        <top style="thin">
          <color rgb="FF7030A0"/>
        </top>
        <bottom style="thin">
          <color rgb="FF7030A0"/>
        </bottom>
        <vertical/>
        <horizontal/>
      </border>
    </dxf>
    <dxf>
      <font>
        <b val="0"/>
        <i/>
        <color rgb="FF7030A0"/>
      </font>
      <fill>
        <patternFill patternType="solid">
          <bgColor rgb="FFDEC8EE"/>
        </patternFill>
      </fill>
      <border>
        <top style="thin">
          <color rgb="FF58267E"/>
        </top>
        <bottom style="thin">
          <color rgb="FF58267E"/>
        </bottom>
        <vertical/>
        <horizontal/>
      </border>
    </dxf>
    <dxf>
      <font>
        <color theme="9" tint="-0.499984740745262"/>
      </font>
      <fill>
        <patternFill patternType="solid">
          <bgColor theme="9" tint="0.79995117038483843"/>
        </patternFill>
      </fill>
      <border>
        <top style="thin">
          <color theme="9" tint="-0.499984740745262"/>
        </top>
        <bottom style="thin">
          <color theme="9" tint="-0.499984740745262"/>
        </bottom>
        <vertical/>
        <horizontal/>
      </border>
    </dxf>
    <dxf>
      <font>
        <b val="0"/>
        <i val="0"/>
        <color rgb="FF920000"/>
      </font>
      <fill>
        <patternFill patternType="solid">
          <bgColor rgb="FFFFC9C9"/>
        </patternFill>
      </fill>
      <border>
        <top style="thin">
          <color rgb="FF920000"/>
        </top>
        <bottom style="thin">
          <color rgb="FF920000"/>
        </bottom>
        <vertical/>
        <horizontal/>
      </border>
    </dxf>
    <dxf>
      <font>
        <b val="0"/>
        <i val="0"/>
        <color theme="8" tint="-0.499984740745262"/>
      </font>
      <fill>
        <patternFill patternType="solid">
          <bgColor theme="4" tint="0.79995117038483843"/>
        </patternFill>
      </fill>
      <border>
        <top style="thin">
          <color theme="8" tint="-0.24994659260841701"/>
        </top>
        <bottom style="thin">
          <color theme="8" tint="-0.24994659260841701"/>
        </bottom>
        <vertical/>
        <horizontal/>
      </border>
    </dxf>
    <dxf>
      <font>
        <b val="0"/>
        <i val="0"/>
        <color theme="5" tint="-0.499984740745262"/>
      </font>
      <fill>
        <patternFill patternType="solid">
          <bgColor rgb="FFFFD597"/>
        </patternFill>
      </fill>
      <border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ont>
        <b/>
        <i val="0"/>
        <color rgb="FF2DC8FF"/>
      </font>
      <fill>
        <patternFill patternType="solid">
          <bgColor theme="8" tint="-0.499984740745262"/>
        </patternFill>
      </fill>
      <border>
        <top style="thin">
          <color rgb="FF2DC8FF"/>
        </top>
        <bottom style="thin">
          <color rgb="FF2DC8FF"/>
        </bottom>
        <vertical/>
        <horizontal/>
      </border>
    </dxf>
    <dxf>
      <font>
        <b/>
        <i val="0"/>
        <color rgb="FF2DC8FF"/>
      </font>
      <fill>
        <patternFill patternType="solid">
          <fgColor theme="2" tint="-0.499984740745262"/>
          <bgColor theme="1" tint="4.9989318521683403E-2"/>
        </patternFill>
      </fill>
      <border>
        <top style="thin">
          <color rgb="FF2DC8FF"/>
        </top>
        <bottom style="thin">
          <color rgb="FF2DC8FF"/>
        </bottom>
        <vertical/>
        <horizontal/>
      </border>
    </dxf>
    <dxf>
      <font>
        <color rgb="FF373F57"/>
      </font>
      <fill>
        <patternFill patternType="solid">
          <bgColor theme="0"/>
        </patternFill>
      </fill>
      <border>
        <top style="thin">
          <color rgb="FF373F57"/>
        </top>
        <bottom style="thin">
          <color rgb="FF373F57"/>
        </bottom>
      </border>
    </dxf>
    <dxf>
      <font>
        <b val="0"/>
        <i val="0"/>
        <color rgb="FFFF0000"/>
      </font>
      <fill>
        <patternFill patternType="solid">
          <bgColor theme="0"/>
        </patternFill>
      </fill>
      <border>
        <top style="thin">
          <color rgb="FF373F57"/>
        </top>
        <bottom style="thin">
          <color rgb="FF373F57"/>
        </bottom>
      </border>
    </dxf>
    <dxf>
      <font>
        <color theme="0"/>
      </font>
      <fill>
        <patternFill patternType="solid">
          <bgColor rgb="FFC00000"/>
        </patternFill>
      </fill>
      <border>
        <vertical/>
        <horizontal/>
      </border>
    </dxf>
    <dxf>
      <font>
        <b val="0"/>
        <i val="0"/>
        <color theme="7" tint="-0.499984740745262"/>
      </font>
      <fill>
        <patternFill patternType="solid">
          <bgColor rgb="FFFFFF99"/>
        </patternFill>
      </fill>
      <border>
        <top style="thin">
          <color theme="7" tint="-0.499984740745262"/>
        </top>
        <bottom style="thin">
          <color theme="7" tint="-0.499984740745262"/>
        </bottom>
        <vertical/>
        <horizontal/>
      </border>
    </dxf>
    <dxf>
      <font>
        <b val="0"/>
        <i val="0"/>
        <color theme="7"/>
      </font>
      <fill>
        <patternFill patternType="solid">
          <bgColor theme="1"/>
        </patternFill>
      </fill>
    </dxf>
    <dxf>
      <fill>
        <patternFill>
          <bgColor theme="3" tint="0.79998168889431442"/>
        </patternFill>
      </fill>
    </dxf>
  </dxfs>
  <tableStyles count="0" defaultTableStyle="TableStyleMedium2" defaultPivotStyle="PivotStyleLight16"/>
  <colors>
    <mruColors>
      <color rgb="FFABABAB"/>
      <color rgb="FFDE2ADE"/>
      <color rgb="FFE971E9"/>
      <color rgb="FF8D7C51"/>
      <color rgb="FFA28E5C"/>
      <color rgb="FFB8A982"/>
      <color rgb="FF6666FF"/>
      <color rgb="FFFFFFCC"/>
      <color rgb="FFC5F4FF"/>
      <color rgb="FFB3E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6" Type="http://schemas.openxmlformats.org/officeDocument/2006/relationships/image" Target="../media/image25.png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7.emf"/><Relationship Id="rId7" Type="http://schemas.openxmlformats.org/officeDocument/2006/relationships/image" Target="../media/image12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14.emf"/><Relationship Id="rId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16.emf"/><Relationship Id="rId9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7" Type="http://schemas.openxmlformats.org/officeDocument/2006/relationships/image" Target="../media/image32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6" Type="http://schemas.openxmlformats.org/officeDocument/2006/relationships/image" Target="../media/image7.emf"/><Relationship Id="rId5" Type="http://schemas.openxmlformats.org/officeDocument/2006/relationships/image" Target="../media/image31.emf"/><Relationship Id="rId4" Type="http://schemas.openxmlformats.org/officeDocument/2006/relationships/image" Target="../media/image30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1.emf"/><Relationship Id="rId3" Type="http://schemas.openxmlformats.org/officeDocument/2006/relationships/image" Target="../media/image35.emf"/><Relationship Id="rId7" Type="http://schemas.openxmlformats.org/officeDocument/2006/relationships/image" Target="../media/image37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6" Type="http://schemas.openxmlformats.org/officeDocument/2006/relationships/image" Target="../media/image29.emf"/><Relationship Id="rId5" Type="http://schemas.openxmlformats.org/officeDocument/2006/relationships/image" Target="../media/image36.emf"/><Relationship Id="rId10" Type="http://schemas.openxmlformats.org/officeDocument/2006/relationships/image" Target="../media/image39.emf"/><Relationship Id="rId4" Type="http://schemas.openxmlformats.org/officeDocument/2006/relationships/image" Target="../media/image28.emf"/><Relationship Id="rId9" Type="http://schemas.openxmlformats.org/officeDocument/2006/relationships/image" Target="../media/image3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4" Type="http://schemas.openxmlformats.org/officeDocument/2006/relationships/image" Target="../media/image4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0</xdr:row>
          <xdr:rowOff>0</xdr:rowOff>
        </xdr:from>
        <xdr:to>
          <xdr:col>5</xdr:col>
          <xdr:colOff>5048250</xdr:colOff>
          <xdr:row>1</xdr:row>
          <xdr:rowOff>0</xdr:rowOff>
        </xdr:to>
        <xdr:sp macro="" textlink="">
          <xdr:nvSpPr>
            <xdr:cNvPr id="20489" name="WIDE_BAR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0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5047194</xdr:colOff>
      <xdr:row>0</xdr:row>
      <xdr:rowOff>-4</xdr:rowOff>
    </xdr:from>
    <xdr:to>
      <xdr:col>6</xdr:col>
      <xdr:colOff>3782</xdr:colOff>
      <xdr:row>1</xdr:row>
      <xdr:rowOff>1573</xdr:rowOff>
    </xdr:to>
    <xdr:grpSp>
      <xdr:nvGrpSpPr>
        <xdr:cNvPr id="16" name="+/-">
          <a:extLst>
            <a:ext uri="{FF2B5EF4-FFF2-40B4-BE49-F238E27FC236}">
              <a16:creationId xmlns:a16="http://schemas.microsoft.com/office/drawing/2014/main" id="{00000000-0008-0000-0000-000010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6708855" y="-4"/>
          <a:ext cx="518631" cy="258822"/>
          <a:chOff x="3309292" y="-4"/>
          <a:chExt cx="513668" cy="258752"/>
        </a:xfrm>
      </xdr:grpSpPr>
      <xdr:grpSp>
        <xdr:nvGrpSpPr>
          <xdr:cNvPr id="9" name="-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pSpPr/>
        </xdr:nvGrpSpPr>
        <xdr:grpSpPr>
          <a:xfrm>
            <a:off x="3564605" y="-4"/>
            <a:ext cx="258355" cy="258752"/>
            <a:chOff x="3449919" y="7"/>
            <a:chExt cx="253172" cy="259843"/>
          </a:xfrm>
        </xdr:grpSpPr>
        <xdr:sp macro="" textlink="">
          <xdr:nvSpPr>
            <xdr:cNvPr id="14" name="■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3459429" y="257"/>
              <a:ext cx="243058" cy="25711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5" name="Shape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3468804" y="41657"/>
              <a:ext cx="216051" cy="183651"/>
            </a:xfrm>
            <a:prstGeom prst="mathMinus">
              <a:avLst>
                <a:gd name="adj1" fmla="val 34033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en-US" sz="110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+mn-lt"/>
                <a:ea typeface="+mn-ea"/>
                <a:cs typeface="+mn-cs"/>
              </a:endParaRP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0487" name="MINUS_BUTTON" hidden="1">
                  <a:extLst>
                    <a:ext uri="{63B3BB69-23CF-44E3-9099-C40C66FF867C}">
                      <a14:compatExt spid="_x0000_s20487"/>
                    </a:ext>
                    <a:ext uri="{FF2B5EF4-FFF2-40B4-BE49-F238E27FC236}">
                      <a16:creationId xmlns:a16="http://schemas.microsoft.com/office/drawing/2014/main" id="{00000000-0008-0000-0000-000007500000}"/>
                    </a:ext>
                  </a:extLst>
                </xdr:cNvPr>
                <xdr:cNvSpPr/>
              </xdr:nvSpPr>
              <xdr:spPr bwMode="auto">
                <a:xfrm>
                  <a:off x="3449919" y="7"/>
                  <a:ext cx="253172" cy="25984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xdr:grpSp>
        <xdr:nvGrpSpPr>
          <xdr:cNvPr id="10" name="+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GrpSpPr/>
        </xdr:nvGrpSpPr>
        <xdr:grpSpPr>
          <a:xfrm>
            <a:off x="3309292" y="0"/>
            <a:ext cx="252304" cy="258687"/>
            <a:chOff x="3465905" y="0"/>
            <a:chExt cx="260542" cy="259062"/>
          </a:xfrm>
        </xdr:grpSpPr>
        <xdr:sp macro="" textlink="">
          <xdr:nvSpPr>
            <xdr:cNvPr id="11" name="■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3467343" y="0"/>
              <a:ext cx="254518" cy="25307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2" name="+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/>
          </xdr:nvSpPr>
          <xdr:spPr>
            <a:xfrm>
              <a:off x="3482086" y="23915"/>
              <a:ext cx="225465" cy="215849"/>
            </a:xfrm>
            <a:prstGeom prst="mathPlus">
              <a:avLst>
                <a:gd name="adj1" fmla="val 22756"/>
              </a:avLst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>
                <a:solidFill>
                  <a:srgbClr val="820000"/>
                </a:solidFill>
              </a:endParaRP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0488" name="PLUS_BUTTON" hidden="1">
                  <a:extLst>
                    <a:ext uri="{63B3BB69-23CF-44E3-9099-C40C66FF867C}">
                      <a14:compatExt spid="_x0000_s20488"/>
                    </a:ext>
                    <a:ext uri="{FF2B5EF4-FFF2-40B4-BE49-F238E27FC236}">
                      <a16:creationId xmlns:a16="http://schemas.microsoft.com/office/drawing/2014/main" id="{00000000-0008-0000-0000-000008500000}"/>
                    </a:ext>
                  </a:extLst>
                </xdr:cNvPr>
                <xdr:cNvSpPr/>
              </xdr:nvSpPr>
              <xdr:spPr bwMode="auto">
                <a:xfrm>
                  <a:off x="3465905" y="0"/>
                  <a:ext cx="260542" cy="25906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</xdr:grpSp>
    <xdr:clientData/>
  </xdr:twoCellAnchor>
  <xdr:twoCellAnchor>
    <xdr:from>
      <xdr:col>5</xdr:col>
      <xdr:colOff>257175</xdr:colOff>
      <xdr:row>0</xdr:row>
      <xdr:rowOff>0</xdr:rowOff>
    </xdr:from>
    <xdr:to>
      <xdr:col>5</xdr:col>
      <xdr:colOff>518247</xdr:colOff>
      <xdr:row>0</xdr:row>
      <xdr:rowOff>257170</xdr:rowOff>
    </xdr:to>
    <xdr:grpSp>
      <xdr:nvGrpSpPr>
        <xdr:cNvPr id="21" name="→">
          <a:extLst>
            <a:ext uri="{FF2B5EF4-FFF2-40B4-BE49-F238E27FC236}">
              <a16:creationId xmlns:a16="http://schemas.microsoft.com/office/drawing/2014/main" id="{00000000-0008-0000-0000-000015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918836" y="0"/>
          <a:ext cx="261072" cy="257170"/>
          <a:chOff x="3210162" y="0"/>
          <a:chExt cx="259799" cy="282967"/>
        </a:xfrm>
      </xdr:grpSpPr>
      <xdr:sp macro="" textlink="">
        <xdr:nvSpPr>
          <xdr:cNvPr id="22" name="■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3210162" y="0"/>
            <a:ext cx="247755" cy="25307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" name="→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3256436" y="67476"/>
            <a:ext cx="164592" cy="146445"/>
          </a:xfrm>
          <a:prstGeom prst="rightArrow">
            <a:avLst>
              <a:gd name="adj1" fmla="val 41518"/>
              <a:gd name="adj2" fmla="val 57821"/>
            </a:avLst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marL="0" indent="0" algn="l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90" name="ARROW_BUTTON" hidden="1">
                <a:extLst>
                  <a:ext uri="{63B3BB69-23CF-44E3-9099-C40C66FF867C}">
                    <a14:compatExt spid="_x0000_s20490"/>
                  </a:ext>
                  <a:ext uri="{FF2B5EF4-FFF2-40B4-BE49-F238E27FC236}">
                    <a16:creationId xmlns:a16="http://schemas.microsoft.com/office/drawing/2014/main" id="{00000000-0008-0000-0000-00000A500000}"/>
                  </a:ext>
                </a:extLst>
              </xdr:cNvPr>
              <xdr:cNvSpPr/>
            </xdr:nvSpPr>
            <xdr:spPr bwMode="auto">
              <a:xfrm>
                <a:off x="3212877" y="1"/>
                <a:ext cx="257084" cy="2829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5" name="DATE_COLUMN" descr="Inserts today's date in first empty cell below.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0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0</xdr:row>
          <xdr:rowOff>0</xdr:rowOff>
        </xdr:from>
        <xdr:to>
          <xdr:col>2</xdr:col>
          <xdr:colOff>533400</xdr:colOff>
          <xdr:row>1</xdr:row>
          <xdr:rowOff>0</xdr:rowOff>
        </xdr:to>
        <xdr:sp macro="" textlink="">
          <xdr:nvSpPr>
            <xdr:cNvPr id="20486" name="START_COLUMN" descr="Inserts current time in first empty cell below as the start time for the time entry.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0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20483" name="END_COLUMN" descr="Inserts current time in first empty cell below as the end time for the time entry.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0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1</xdr:col>
          <xdr:colOff>762000</xdr:colOff>
          <xdr:row>1</xdr:row>
          <xdr:rowOff>0</xdr:rowOff>
        </xdr:to>
        <xdr:sp macro="" textlink="">
          <xdr:nvSpPr>
            <xdr:cNvPr id="20484" name="MATTER_COLUMN" descr="Duplicates the matter number of the last time entry in the first empty cell below.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0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0</xdr:row>
          <xdr:rowOff>0</xdr:rowOff>
        </xdr:from>
        <xdr:to>
          <xdr:col>4</xdr:col>
          <xdr:colOff>504825</xdr:colOff>
          <xdr:row>1</xdr:row>
          <xdr:rowOff>0</xdr:rowOff>
        </xdr:to>
        <xdr:sp macro="" textlink="">
          <xdr:nvSpPr>
            <xdr:cNvPr id="20482" name="TIME_COLUMN" descr="Hides &quot;Start and Finish&quot; Column so time entries are presentable when exported by email.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0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2292</xdr:colOff>
      <xdr:row>0</xdr:row>
      <xdr:rowOff>3389</xdr:rowOff>
    </xdr:from>
    <xdr:to>
      <xdr:col>5</xdr:col>
      <xdr:colOff>257175</xdr:colOff>
      <xdr:row>1</xdr:row>
      <xdr:rowOff>1530</xdr:rowOff>
    </xdr:to>
    <xdr:grpSp>
      <xdr:nvGrpSpPr>
        <xdr:cNvPr id="20495" name="FULL_SCREEN">
          <a:extLst>
            <a:ext uri="{FF2B5EF4-FFF2-40B4-BE49-F238E27FC236}">
              <a16:creationId xmlns:a16="http://schemas.microsoft.com/office/drawing/2014/main" id="{00000000-0008-0000-0000-00000F500000}"/>
            </a:ext>
          </a:extLst>
        </xdr:cNvPr>
        <xdr:cNvGrpSpPr/>
      </xdr:nvGrpSpPr>
      <xdr:grpSpPr>
        <a:xfrm>
          <a:off x="1663953" y="3389"/>
          <a:ext cx="254883" cy="255386"/>
          <a:chOff x="2792557" y="3389"/>
          <a:chExt cx="254883" cy="255876"/>
        </a:xfrm>
      </xdr:grpSpPr>
      <xdr:pic>
        <xdr:nvPicPr>
          <xdr:cNvPr id="20494" name="dbl_arrow_pic">
            <a:extLst>
              <a:ext uri="{FF2B5EF4-FFF2-40B4-BE49-F238E27FC236}">
                <a16:creationId xmlns:a16="http://schemas.microsoft.com/office/drawing/2014/main" id="{00000000-0008-0000-0000-00000E5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2802" t="1458" r="5567" b="3367"/>
          <a:stretch/>
        </xdr:blipFill>
        <xdr:spPr>
          <a:xfrm>
            <a:off x="2838478" y="47718"/>
            <a:ext cx="167498" cy="16707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12" name="FULL_SCREEN" hidden="1">
                <a:extLst>
                  <a:ext uri="{63B3BB69-23CF-44E3-9099-C40C66FF867C}">
                    <a14:compatExt spid="_x0000_s20512"/>
                  </a:ext>
                  <a:ext uri="{FF2B5EF4-FFF2-40B4-BE49-F238E27FC236}">
                    <a16:creationId xmlns:a16="http://schemas.microsoft.com/office/drawing/2014/main" id="{00000000-0008-0000-0000-000020500000}"/>
                  </a:ext>
                </a:extLst>
              </xdr:cNvPr>
              <xdr:cNvSpPr/>
            </xdr:nvSpPr>
            <xdr:spPr bwMode="auto">
              <a:xfrm>
                <a:off x="2792557" y="3389"/>
                <a:ext cx="254883" cy="25587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6692" name="FRIDAY" descr="No attached code. Decorative code." hidden="1">
              <a:extLst>
                <a:ext uri="{63B3BB69-23CF-44E3-9099-C40C66FF867C}">
                  <a14:compatExt spid="_x0000_s16692"/>
                </a:ext>
                <a:ext uri="{FF2B5EF4-FFF2-40B4-BE49-F238E27FC236}">
                  <a16:creationId xmlns:a16="http://schemas.microsoft.com/office/drawing/2014/main" id="{00000000-0008-0000-0100-0000344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6691" name="THURSDAY" descr="No attached code. Decorative code." hidden="1">
              <a:extLst>
                <a:ext uri="{63B3BB69-23CF-44E3-9099-C40C66FF867C}">
                  <a14:compatExt spid="_x0000_s16691"/>
                </a:ext>
                <a:ext uri="{FF2B5EF4-FFF2-40B4-BE49-F238E27FC236}">
                  <a16:creationId xmlns:a16="http://schemas.microsoft.com/office/drawing/2014/main" id="{00000000-0008-0000-0100-0000334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6690" name="WEDNESDAY" descr="No attached code. Decorative code." hidden="1">
              <a:extLst>
                <a:ext uri="{63B3BB69-23CF-44E3-9099-C40C66FF867C}">
                  <a14:compatExt spid="_x0000_s16690"/>
                </a:ext>
                <a:ext uri="{FF2B5EF4-FFF2-40B4-BE49-F238E27FC236}">
                  <a16:creationId xmlns:a16="http://schemas.microsoft.com/office/drawing/2014/main" id="{00000000-0008-0000-0100-0000324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1828800</xdr:colOff>
          <xdr:row>2</xdr:row>
          <xdr:rowOff>0</xdr:rowOff>
        </xdr:to>
        <xdr:sp macro="" textlink="">
          <xdr:nvSpPr>
            <xdr:cNvPr id="16689" name="TUESDAY" descr="No attached code. Decorative code." hidden="1">
              <a:extLst>
                <a:ext uri="{63B3BB69-23CF-44E3-9099-C40C66FF867C}">
                  <a14:compatExt spid="_x0000_s16689"/>
                </a:ext>
                <a:ext uri="{FF2B5EF4-FFF2-40B4-BE49-F238E27FC236}">
                  <a16:creationId xmlns:a16="http://schemas.microsoft.com/office/drawing/2014/main" id="{00000000-0008-0000-0100-0000314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16688" name="MONDAY" descr="No attached code. Decorative code." hidden="1">
              <a:extLst>
                <a:ext uri="{63B3BB69-23CF-44E3-9099-C40C66FF867C}">
                  <a14:compatExt spid="_x0000_s16688"/>
                </a:ext>
                <a:ext uri="{FF2B5EF4-FFF2-40B4-BE49-F238E27FC236}">
                  <a16:creationId xmlns:a16="http://schemas.microsoft.com/office/drawing/2014/main" id="{00000000-0008-0000-0100-0000304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971550</xdr:colOff>
          <xdr:row>0</xdr:row>
          <xdr:rowOff>0</xdr:rowOff>
        </xdr:from>
        <xdr:to>
          <xdr:col>11</xdr:col>
          <xdr:colOff>495300</xdr:colOff>
          <xdr:row>1</xdr:row>
          <xdr:rowOff>0</xdr:rowOff>
        </xdr:to>
        <xdr:sp macro="" textlink="">
          <xdr:nvSpPr>
            <xdr:cNvPr id="16693" name="WIDE_BAR" descr="Toggles &quot;freeze panes&quot; on and off,." hidden="1">
              <a:extLst>
                <a:ext uri="{63B3BB69-23CF-44E3-9099-C40C66FF867C}">
                  <a14:compatExt spid="_x0000_s16693"/>
                </a:ext>
                <a:ext uri="{FF2B5EF4-FFF2-40B4-BE49-F238E27FC236}">
                  <a16:creationId xmlns:a16="http://schemas.microsoft.com/office/drawing/2014/main" id="{00000000-0008-0000-0100-0000354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7295" name="ROW2_COLUMN_B" hidden="1">
              <a:extLst>
                <a:ext uri="{63B3BB69-23CF-44E3-9099-C40C66FF867C}">
                  <a14:compatExt spid="_x0000_s17295"/>
                </a:ext>
                <a:ext uri="{FF2B5EF4-FFF2-40B4-BE49-F238E27FC236}">
                  <a16:creationId xmlns:a16="http://schemas.microsoft.com/office/drawing/2014/main" id="{00000000-0008-0000-0100-00008F4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1466850</xdr:colOff>
      <xdr:row>0</xdr:row>
      <xdr:rowOff>0</xdr:rowOff>
    </xdr:from>
    <xdr:to>
      <xdr:col>12</xdr:col>
      <xdr:colOff>0</xdr:colOff>
      <xdr:row>1</xdr:row>
      <xdr:rowOff>0</xdr:rowOff>
    </xdr:to>
    <xdr:grpSp>
      <xdr:nvGrpSpPr>
        <xdr:cNvPr id="29" name="L3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GrpSpPr/>
      </xdr:nvGrpSpPr>
      <xdr:grpSpPr>
        <a:xfrm>
          <a:off x="11724542" y="0"/>
          <a:ext cx="364881" cy="366346"/>
          <a:chOff x="11696301" y="0"/>
          <a:chExt cx="361950" cy="361954"/>
        </a:xfrm>
      </xdr:grpSpPr>
      <xdr:pic>
        <xdr:nvPicPr>
          <xdr:cNvPr id="49" name="DBL ARRWS">
            <a:extLst>
              <a:ext uri="{FF2B5EF4-FFF2-40B4-BE49-F238E27FC236}">
                <a16:creationId xmlns:a16="http://schemas.microsoft.com/office/drawing/2014/main" id="{00000000-0008-0000-0100-00003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661" t="3310" r="697" b="-627"/>
          <a:stretch/>
        </xdr:blipFill>
        <xdr:spPr>
          <a:xfrm>
            <a:off x="11756849" y="62103"/>
            <a:ext cx="241652" cy="23774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299" name="COLUMN_L_3_BUTTON" hidden="1">
                <a:extLst>
                  <a:ext uri="{63B3BB69-23CF-44E3-9099-C40C66FF867C}">
                    <a14:compatExt spid="_x0000_s17299"/>
                  </a:ext>
                  <a:ext uri="{FF2B5EF4-FFF2-40B4-BE49-F238E27FC236}">
                    <a16:creationId xmlns:a16="http://schemas.microsoft.com/office/drawing/2014/main" id="{00000000-0008-0000-0100-000093430000}"/>
                  </a:ext>
                </a:extLst>
              </xdr:cNvPr>
              <xdr:cNvSpPr/>
            </xdr:nvSpPr>
            <xdr:spPr bwMode="auto">
              <a:xfrm>
                <a:off x="11696301" y="0"/>
                <a:ext cx="361950" cy="36195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11</xdr:col>
      <xdr:colOff>495300</xdr:colOff>
      <xdr:row>0</xdr:row>
      <xdr:rowOff>0</xdr:rowOff>
    </xdr:from>
    <xdr:to>
      <xdr:col>11</xdr:col>
      <xdr:colOff>981075</xdr:colOff>
      <xdr:row>1</xdr:row>
      <xdr:rowOff>0</xdr:rowOff>
    </xdr:to>
    <xdr:grpSp>
      <xdr:nvGrpSpPr>
        <xdr:cNvPr id="17026" name="Group 17025">
          <a:extLst>
            <a:ext uri="{FF2B5EF4-FFF2-40B4-BE49-F238E27FC236}">
              <a16:creationId xmlns:a16="http://schemas.microsoft.com/office/drawing/2014/main" id="{00000000-0008-0000-0100-000082420000}"/>
            </a:ext>
          </a:extLst>
        </xdr:cNvPr>
        <xdr:cNvGrpSpPr/>
      </xdr:nvGrpSpPr>
      <xdr:grpSpPr>
        <a:xfrm>
          <a:off x="10752992" y="0"/>
          <a:ext cx="485775" cy="366346"/>
          <a:chOff x="10724670" y="0"/>
          <a:chExt cx="485775" cy="360185"/>
        </a:xfrm>
      </xdr:grpSpPr>
      <xdr:pic>
        <xdr:nvPicPr>
          <xdr:cNvPr id="83" name="TRIANGLE UP" descr="Play">
            <a:extLst>
              <a:ext uri="{FF2B5EF4-FFF2-40B4-BE49-F238E27FC236}">
                <a16:creationId xmlns:a16="http://schemas.microsoft.com/office/drawing/2014/main" id="{00000000-0008-0000-0100-00005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l="1518" r="-1518"/>
          <a:stretch/>
        </xdr:blipFill>
        <xdr:spPr>
          <a:xfrm rot="16200000">
            <a:off x="10850744" y="42934"/>
            <a:ext cx="233627" cy="27432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6697" name="COLUMN_L_2_BUTTON" hidden="1">
                <a:extLst>
                  <a:ext uri="{63B3BB69-23CF-44E3-9099-C40C66FF867C}">
                    <a14:compatExt spid="_x0000_s16697"/>
                  </a:ext>
                  <a:ext uri="{FF2B5EF4-FFF2-40B4-BE49-F238E27FC236}">
                    <a16:creationId xmlns:a16="http://schemas.microsoft.com/office/drawing/2014/main" id="{00000000-0008-0000-0100-000039410000}"/>
                  </a:ext>
                </a:extLst>
              </xdr:cNvPr>
              <xdr:cNvSpPr/>
            </xdr:nvSpPr>
            <xdr:spPr bwMode="auto">
              <a:xfrm>
                <a:off x="10724670" y="0"/>
                <a:ext cx="485775" cy="36018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11</xdr:col>
      <xdr:colOff>981075</xdr:colOff>
      <xdr:row>0</xdr:row>
      <xdr:rowOff>0</xdr:rowOff>
    </xdr:from>
    <xdr:to>
      <xdr:col>11</xdr:col>
      <xdr:colOff>1466850</xdr:colOff>
      <xdr:row>1</xdr:row>
      <xdr:rowOff>0</xdr:rowOff>
    </xdr:to>
    <xdr:grpSp>
      <xdr:nvGrpSpPr>
        <xdr:cNvPr id="17025" name="Group 17024">
          <a:extLst>
            <a:ext uri="{FF2B5EF4-FFF2-40B4-BE49-F238E27FC236}">
              <a16:creationId xmlns:a16="http://schemas.microsoft.com/office/drawing/2014/main" id="{00000000-0008-0000-0100-000081420000}"/>
            </a:ext>
          </a:extLst>
        </xdr:cNvPr>
        <xdr:cNvGrpSpPr/>
      </xdr:nvGrpSpPr>
      <xdr:grpSpPr>
        <a:xfrm>
          <a:off x="11238767" y="0"/>
          <a:ext cx="485775" cy="366346"/>
          <a:chOff x="11210445" y="0"/>
          <a:chExt cx="485775" cy="360192"/>
        </a:xfrm>
      </xdr:grpSpPr>
      <xdr:pic>
        <xdr:nvPicPr>
          <xdr:cNvPr id="17033" name="TRIANGLE DOWN" descr="Play">
            <a:extLst>
              <a:ext uri="{FF2B5EF4-FFF2-40B4-BE49-F238E27FC236}">
                <a16:creationId xmlns:a16="http://schemas.microsoft.com/office/drawing/2014/main" id="{00000000-0008-0000-0100-0000894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 rot="5400000">
            <a:off x="11336777" y="42934"/>
            <a:ext cx="233110" cy="27432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6698" name="COLUMN_L_1_BUTTON" hidden="1">
                <a:extLst>
                  <a:ext uri="{63B3BB69-23CF-44E3-9099-C40C66FF867C}">
                    <a14:compatExt spid="_x0000_s16698"/>
                  </a:ext>
                  <a:ext uri="{FF2B5EF4-FFF2-40B4-BE49-F238E27FC236}">
                    <a16:creationId xmlns:a16="http://schemas.microsoft.com/office/drawing/2014/main" id="{00000000-0008-0000-0100-00003A410000}"/>
                  </a:ext>
                </a:extLst>
              </xdr:cNvPr>
              <xdr:cNvSpPr/>
            </xdr:nvSpPr>
            <xdr:spPr bwMode="auto">
              <a:xfrm>
                <a:off x="11210445" y="0"/>
                <a:ext cx="485775" cy="36019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486358</xdr:colOff>
      <xdr:row>0</xdr:row>
      <xdr:rowOff>0</xdr:rowOff>
    </xdr:from>
    <xdr:to>
      <xdr:col>3</xdr:col>
      <xdr:colOff>971550</xdr:colOff>
      <xdr:row>1</xdr:row>
      <xdr:rowOff>0</xdr:rowOff>
    </xdr:to>
    <xdr:grpSp>
      <xdr:nvGrpSpPr>
        <xdr:cNvPr id="14" name="D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1463281" y="0"/>
          <a:ext cx="485192" cy="366346"/>
          <a:chOff x="1482377" y="0"/>
          <a:chExt cx="485192" cy="361294"/>
        </a:xfrm>
      </xdr:grpSpPr>
      <xdr:pic>
        <xdr:nvPicPr>
          <xdr:cNvPr id="60" name="Checkmark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87813" y="67472"/>
            <a:ext cx="274320" cy="2263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6696" name="COLUMN_D_2_BUTTON" hidden="1">
                <a:extLst>
                  <a:ext uri="{63B3BB69-23CF-44E3-9099-C40C66FF867C}">
                    <a14:compatExt spid="_x0000_s16696"/>
                  </a:ext>
                  <a:ext uri="{FF2B5EF4-FFF2-40B4-BE49-F238E27FC236}">
                    <a16:creationId xmlns:a16="http://schemas.microsoft.com/office/drawing/2014/main" id="{00000000-0008-0000-0100-000038410000}"/>
                  </a:ext>
                </a:extLst>
              </xdr:cNvPr>
              <xdr:cNvSpPr/>
            </xdr:nvSpPr>
            <xdr:spPr bwMode="auto">
              <a:xfrm>
                <a:off x="1482377" y="0"/>
                <a:ext cx="485192" cy="36129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1726</xdr:colOff>
      <xdr:row>0</xdr:row>
      <xdr:rowOff>0</xdr:rowOff>
    </xdr:from>
    <xdr:to>
      <xdr:col>3</xdr:col>
      <xdr:colOff>486358</xdr:colOff>
      <xdr:row>1</xdr:row>
      <xdr:rowOff>0</xdr:rowOff>
    </xdr:to>
    <xdr:grpSp>
      <xdr:nvGrpSpPr>
        <xdr:cNvPr id="13" name="D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978649" y="0"/>
          <a:ext cx="484632" cy="366346"/>
          <a:chOff x="973933" y="0"/>
          <a:chExt cx="484632" cy="361293"/>
        </a:xfrm>
      </xdr:grpSpPr>
      <xdr:pic>
        <xdr:nvPicPr>
          <xdr:cNvPr id="48" name="DOUBLE_ARROWS">
            <a:extLst>
              <a:ext uri="{FF2B5EF4-FFF2-40B4-BE49-F238E27FC236}">
                <a16:creationId xmlns:a16="http://schemas.microsoft.com/office/drawing/2014/main" id="{00000000-0008-0000-0100-00003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79089" y="57641"/>
            <a:ext cx="274320" cy="24601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285" name="COLUMN_D_1_BUTTON" hidden="1">
                <a:extLst>
                  <a:ext uri="{63B3BB69-23CF-44E3-9099-C40C66FF867C}">
                    <a14:compatExt spid="_x0000_s17285"/>
                  </a:ext>
                  <a:ext uri="{FF2B5EF4-FFF2-40B4-BE49-F238E27FC236}">
                    <a16:creationId xmlns:a16="http://schemas.microsoft.com/office/drawing/2014/main" id="{00000000-0008-0000-0100-000085430000}"/>
                  </a:ext>
                </a:extLst>
              </xdr:cNvPr>
              <xdr:cNvSpPr/>
            </xdr:nvSpPr>
            <xdr:spPr bwMode="auto">
              <a:xfrm>
                <a:off x="973933" y="0"/>
                <a:ext cx="484632" cy="3612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352</xdr:colOff>
      <xdr:row>0</xdr:row>
      <xdr:rowOff>0</xdr:rowOff>
    </xdr:from>
    <xdr:to>
      <xdr:col>3</xdr:col>
      <xdr:colOff>1153</xdr:colOff>
      <xdr:row>1</xdr:row>
      <xdr:rowOff>0</xdr:rowOff>
    </xdr:to>
    <xdr:grpSp>
      <xdr:nvGrpSpPr>
        <xdr:cNvPr id="12" name="C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488814" y="0"/>
          <a:ext cx="489262" cy="366346"/>
          <a:chOff x="486491" y="0"/>
          <a:chExt cx="486905" cy="361294"/>
        </a:xfrm>
      </xdr:grpSpPr>
      <xdr:pic>
        <xdr:nvPicPr>
          <xdr:cNvPr id="3" name="ERASER" descr="Eraser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92747" y="39676"/>
            <a:ext cx="274320" cy="28194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045" name="COLUMN_C_BUTTON" hidden="1">
                <a:extLst>
                  <a:ext uri="{63B3BB69-23CF-44E3-9099-C40C66FF867C}">
                    <a14:compatExt spid="_x0000_s17045"/>
                  </a:ext>
                  <a:ext uri="{FF2B5EF4-FFF2-40B4-BE49-F238E27FC236}">
                    <a16:creationId xmlns:a16="http://schemas.microsoft.com/office/drawing/2014/main" id="{00000000-0008-0000-0100-000095420000}"/>
                  </a:ext>
                </a:extLst>
              </xdr:cNvPr>
              <xdr:cNvSpPr/>
            </xdr:nvSpPr>
            <xdr:spPr bwMode="auto">
              <a:xfrm>
                <a:off x="486491" y="0"/>
                <a:ext cx="486905" cy="36129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0</xdr:rowOff>
    </xdr:to>
    <xdr:grpSp>
      <xdr:nvGrpSpPr>
        <xdr:cNvPr id="2" name="B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0" y="0"/>
          <a:ext cx="488462" cy="366346"/>
          <a:chOff x="0" y="0"/>
          <a:chExt cx="484190" cy="365126"/>
        </a:xfrm>
      </xdr:grpSpPr>
      <xdr:sp macro="" textlink="">
        <xdr:nvSpPr>
          <xdr:cNvPr id="10" name="DOWN ARROW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>
            <a:spLocks noChangeAspect="1"/>
          </xdr:cNvSpPr>
        </xdr:nvSpPr>
        <xdr:spPr>
          <a:xfrm>
            <a:off x="156685" y="89206"/>
            <a:ext cx="173084" cy="182880"/>
          </a:xfrm>
          <a:prstGeom prst="downArrow">
            <a:avLst>
              <a:gd name="adj1" fmla="val 40362"/>
              <a:gd name="adj2" fmla="val 52220"/>
            </a:avLst>
          </a:prstGeom>
          <a:solidFill>
            <a:sysClr val="window" lastClr="FFFFFF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6694" name="COLUMN_B_BUTTON" hidden="1">
                <a:extLst>
                  <a:ext uri="{63B3BB69-23CF-44E3-9099-C40C66FF867C}">
                    <a14:compatExt spid="_x0000_s16694"/>
                  </a:ext>
                  <a:ext uri="{FF2B5EF4-FFF2-40B4-BE49-F238E27FC236}">
                    <a16:creationId xmlns:a16="http://schemas.microsoft.com/office/drawing/2014/main" id="{00000000-0008-0000-0100-000036410000}"/>
                  </a:ext>
                </a:extLst>
              </xdr:cNvPr>
              <xdr:cNvSpPr/>
            </xdr:nvSpPr>
            <xdr:spPr bwMode="auto">
              <a:xfrm>
                <a:off x="0" y="0"/>
                <a:ext cx="484190" cy="3651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22529" name="HideThisSheet" descr="Toggles 'Time' sheet between two preselected zooms.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22530" name="HideStartStopTimes" descr="Hides &quot;Start and Finish&quot; Column so time entries are presentable when exported by email.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22531" name="RecordStopTime" descr="Inserts current time in first empty cell below as the end time for the time entry.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2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22532" name="DuplicateMatter" descr="Duplicates the matter number of the last time entry in the first empty cell below.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2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3" name="InsertDate" descr="Inserts today's date in first empty cell below.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2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22534" name="RecordStartTime" descr="Inserts current time in first empty cell below as the start time for the time entry.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2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4</xdr:col>
      <xdr:colOff>504646</xdr:colOff>
      <xdr:row>0</xdr:row>
      <xdr:rowOff>26</xdr:rowOff>
    </xdr:from>
    <xdr:to>
      <xdr:col>5</xdr:col>
      <xdr:colOff>510221</xdr:colOff>
      <xdr:row>1</xdr:row>
      <xdr:rowOff>1797</xdr:rowOff>
    </xdr:to>
    <xdr:grpSp>
      <xdr:nvGrpSpPr>
        <xdr:cNvPr id="8" name="Add Delet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2787052" y="26"/>
          <a:ext cx="508782" cy="262361"/>
          <a:chOff x="3033658" y="26"/>
          <a:chExt cx="511423" cy="256318"/>
        </a:xfrm>
      </xdr:grpSpPr>
      <xdr:grpSp>
        <xdr:nvGrpSpPr>
          <xdr:cNvPr id="9" name="Minus Group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GrpSpPr/>
        </xdr:nvGrpSpPr>
        <xdr:grpSpPr>
          <a:xfrm>
            <a:off x="3291198" y="26"/>
            <a:ext cx="253883" cy="256079"/>
            <a:chOff x="3720307" y="11"/>
            <a:chExt cx="249944" cy="259797"/>
          </a:xfrm>
        </xdr:grpSpPr>
        <xdr:sp macro="" textlink="">
          <xdr:nvSpPr>
            <xdr:cNvPr id="14" name="MinusShapeRectangle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/>
          </xdr:nvSpPr>
          <xdr:spPr>
            <a:xfrm>
              <a:off x="3724064" y="256"/>
              <a:ext cx="241940" cy="258294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5" name="MinusShape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/>
          </xdr:nvSpPr>
          <xdr:spPr>
            <a:xfrm>
              <a:off x="3734136" y="29702"/>
              <a:ext cx="213296" cy="203792"/>
            </a:xfrm>
            <a:prstGeom prst="mathMinus">
              <a:avLst>
                <a:gd name="adj1" fmla="val 34033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en-US" sz="110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+mn-lt"/>
                <a:ea typeface="+mn-ea"/>
                <a:cs typeface="+mn-cs"/>
              </a:endParaRP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2535" name="DeleteRow" hidden="1">
                  <a:extLst>
                    <a:ext uri="{63B3BB69-23CF-44E3-9099-C40C66FF867C}">
                      <a14:compatExt spid="_x0000_s22535"/>
                    </a:ext>
                    <a:ext uri="{FF2B5EF4-FFF2-40B4-BE49-F238E27FC236}">
                      <a16:creationId xmlns:a16="http://schemas.microsoft.com/office/drawing/2014/main" id="{00000000-0008-0000-0200-000007580000}"/>
                    </a:ext>
                  </a:extLst>
                </xdr:cNvPr>
                <xdr:cNvSpPr/>
              </xdr:nvSpPr>
              <xdr:spPr bwMode="auto">
                <a:xfrm>
                  <a:off x="3720307" y="11"/>
                  <a:ext cx="249944" cy="259797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xdr:grpSp>
        <xdr:nvGrpSpPr>
          <xdr:cNvPr id="10" name="Plus Group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GrpSpPr/>
        </xdr:nvGrpSpPr>
        <xdr:grpSpPr>
          <a:xfrm>
            <a:off x="3033658" y="267"/>
            <a:ext cx="251130" cy="256077"/>
            <a:chOff x="3465984" y="0"/>
            <a:chExt cx="260533" cy="259078"/>
          </a:xfrm>
        </xdr:grpSpPr>
        <xdr:sp macro="" textlink="">
          <xdr:nvSpPr>
            <xdr:cNvPr id="11" name="PlusShapeRectangle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/>
          </xdr:nvSpPr>
          <xdr:spPr>
            <a:xfrm>
              <a:off x="3467338" y="0"/>
              <a:ext cx="254518" cy="25307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2" name="PlusShape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/>
          </xdr:nvSpPr>
          <xdr:spPr>
            <a:xfrm>
              <a:off x="3482086" y="23915"/>
              <a:ext cx="225465" cy="215849"/>
            </a:xfrm>
            <a:prstGeom prst="mathPlus">
              <a:avLst>
                <a:gd name="adj1" fmla="val 22756"/>
              </a:avLst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>
                <a:solidFill>
                  <a:srgbClr val="820000"/>
                </a:solidFill>
              </a:endParaRP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2536" name="AddBlankTimeEntries" descr="Add new &quot;Time Entry&quot; row." hidden="1">
                  <a:extLst>
                    <a:ext uri="{63B3BB69-23CF-44E3-9099-C40C66FF867C}">
                      <a14:compatExt spid="_x0000_s22536"/>
                    </a:ext>
                    <a:ext uri="{FF2B5EF4-FFF2-40B4-BE49-F238E27FC236}">
                      <a16:creationId xmlns:a16="http://schemas.microsoft.com/office/drawing/2014/main" id="{00000000-0008-0000-0200-000008580000}"/>
                    </a:ext>
                  </a:extLst>
                </xdr:cNvPr>
                <xdr:cNvSpPr/>
              </xdr:nvSpPr>
              <xdr:spPr bwMode="auto">
                <a:xfrm>
                  <a:off x="3465984" y="0"/>
                  <a:ext cx="260533" cy="259078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6</xdr:col>
      <xdr:colOff>1</xdr:colOff>
      <xdr:row>1</xdr:row>
      <xdr:rowOff>0</xdr:rowOff>
    </xdr:to>
    <xdr:sp macro="" textlink="">
      <xdr:nvSpPr>
        <xdr:cNvPr id="2" name="Background Rectangl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1"/>
          <a:ext cx="9429751" cy="190499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0</xdr:row>
          <xdr:rowOff>0</xdr:rowOff>
        </xdr:from>
        <xdr:to>
          <xdr:col>5</xdr:col>
          <xdr:colOff>5962650</xdr:colOff>
          <xdr:row>1</xdr:row>
          <xdr:rowOff>0</xdr:rowOff>
        </xdr:to>
        <xdr:sp macro="" textlink="">
          <xdr:nvSpPr>
            <xdr:cNvPr id="23557" name="HideThisSheet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3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3264</xdr:colOff>
      <xdr:row>0</xdr:row>
      <xdr:rowOff>6</xdr:rowOff>
    </xdr:from>
    <xdr:to>
      <xdr:col>5</xdr:col>
      <xdr:colOff>568</xdr:colOff>
      <xdr:row>1</xdr:row>
      <xdr:rowOff>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2434849" y="6"/>
          <a:ext cx="500658" cy="441400"/>
          <a:chOff x="2432121" y="5"/>
          <a:chExt cx="499762" cy="380996"/>
        </a:xfrm>
      </xdr:grpSpPr>
      <xdr:grpSp>
        <xdr:nvGrpSpPr>
          <xdr:cNvPr id="5" name="Search Triangles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GrpSpPr/>
        </xdr:nvGrpSpPr>
        <xdr:grpSpPr>
          <a:xfrm>
            <a:off x="2627550" y="50983"/>
            <a:ext cx="152624" cy="278530"/>
            <a:chOff x="2627550" y="103368"/>
            <a:chExt cx="152624" cy="278530"/>
          </a:xfrm>
        </xdr:grpSpPr>
        <xdr:sp macro="" textlink="">
          <xdr:nvSpPr>
            <xdr:cNvPr id="9" name="SwapUpTriangle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>
              <a:spLocks noChangeAspect="1"/>
            </xdr:cNvSpPr>
          </xdr:nvSpPr>
          <xdr:spPr>
            <a:xfrm rot="10800000" flipV="1">
              <a:off x="2627550" y="103368"/>
              <a:ext cx="149551" cy="83861"/>
            </a:xfrm>
            <a:prstGeom prst="triangle">
              <a:avLst/>
            </a:prstGeom>
            <a:solidFill>
              <a:sysClr val="window" lastClr="FFFFFF"/>
            </a:solidFill>
            <a:ln>
              <a:noFill/>
            </a:ln>
            <a:effectLst>
              <a:outerShdw sx="1000" sy="1000" algn="ctr" rotWithShape="0">
                <a:schemeClr val="bg1">
                  <a:alpha val="33000"/>
                </a:schemeClr>
              </a:outerShdw>
            </a:effectLst>
            <a:scene3d>
              <a:camera prst="orthographicFront"/>
              <a:lightRig rig="soft" dir="t">
                <a:rot lat="0" lon="0" rev="15600000"/>
              </a:lightRig>
            </a:scene3d>
            <a:sp3d extrusionH="76200" prstMaterial="matte">
              <a:bevelT w="63500" h="38100"/>
              <a:bevelB w="38100"/>
              <a:extrusionClr>
                <a:schemeClr val="accent3">
                  <a:lumMod val="20000"/>
                  <a:lumOff val="80000"/>
                </a:schemeClr>
              </a:extrusionClr>
            </a:sp3d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 anchorCtr="0">
              <a:sp3d extrusionH="57150" prstMaterial="softEdge">
                <a:bevelT w="25400" h="38100"/>
              </a:sp3d>
            </a:bodyPr>
            <a:lstStyle/>
            <a:p>
              <a:pPr algn="l"/>
              <a:endParaRPr lang="en-US" sz="1100" b="1" cap="none" spc="0">
                <a:ln/>
                <a:solidFill>
                  <a:schemeClr val="accent4"/>
                </a:solidFill>
                <a:effectLst/>
              </a:endParaRPr>
            </a:p>
          </xdr:txBody>
        </xdr:sp>
        <xdr:sp macro="" textlink="">
          <xdr:nvSpPr>
            <xdr:cNvPr id="10" name="SwapDownTriangle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SpPr>
              <a:spLocks noChangeAspect="1"/>
            </xdr:cNvSpPr>
          </xdr:nvSpPr>
          <xdr:spPr>
            <a:xfrm flipV="1">
              <a:off x="2630283" y="298037"/>
              <a:ext cx="149891" cy="83861"/>
            </a:xfrm>
            <a:prstGeom prst="triangle">
              <a:avLst/>
            </a:prstGeom>
            <a:solidFill>
              <a:sysClr val="window" lastClr="FFFFFF"/>
            </a:solidFill>
            <a:ln>
              <a:noFill/>
            </a:ln>
            <a:effectLst>
              <a:outerShdw sx="1000" sy="1000" algn="ctr" rotWithShape="0">
                <a:schemeClr val="bg1">
                  <a:alpha val="33000"/>
                </a:schemeClr>
              </a:outerShdw>
            </a:effectLst>
            <a:scene3d>
              <a:camera prst="orthographicFront"/>
              <a:lightRig rig="soft" dir="t">
                <a:rot lat="0" lon="0" rev="15600000"/>
              </a:lightRig>
            </a:scene3d>
            <a:sp3d extrusionH="76200" prstMaterial="matte">
              <a:bevelT w="63500" h="38100"/>
              <a:bevelB w="38100"/>
              <a:extrusionClr>
                <a:schemeClr val="accent3">
                  <a:lumMod val="20000"/>
                  <a:lumOff val="80000"/>
                </a:schemeClr>
              </a:extrusionClr>
            </a:sp3d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 anchorCtr="0">
              <a:sp3d extrusionH="57150" prstMaterial="softEdge">
                <a:bevelT w="25400" h="38100"/>
              </a:sp3d>
            </a:bodyPr>
            <a:lstStyle/>
            <a:p>
              <a:pPr algn="l"/>
              <a:endParaRPr lang="en-US" sz="1100" b="1" cap="none" spc="0">
                <a:ln/>
                <a:solidFill>
                  <a:schemeClr val="accent4"/>
                </a:solidFill>
                <a:effectLst/>
              </a:endParaRP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6" name="Search">
                <a:extLst>
                  <a:ext uri="{FF2B5EF4-FFF2-40B4-BE49-F238E27FC236}">
                    <a16:creationId xmlns:a16="http://schemas.microsoft.com/office/drawing/2014/main" id="{00000000-0008-0000-0300-000006000000}"/>
                  </a:ext>
                </a:extLst>
              </xdr:cNvPr>
              <xdr:cNvGrpSpPr/>
            </xdr:nvGrpSpPr>
            <xdr:grpSpPr>
              <a:xfrm>
                <a:off x="2432121" y="5"/>
                <a:ext cx="499762" cy="380996"/>
                <a:chOff x="2432121" y="5"/>
                <a:chExt cx="499762" cy="380996"/>
              </a:xfrm>
            </xdr:grpSpPr>
            <xdr:sp macro="" textlink="">
              <xdr:nvSpPr>
                <xdr:cNvPr id="23558" name="SearchUpButton" hidden="1">
                  <a:extLst>
                    <a:ext uri="{63B3BB69-23CF-44E3-9099-C40C66FF867C}">
                      <a14:compatExt spid="_x0000_s23558"/>
                    </a:ext>
                    <a:ext uri="{FF2B5EF4-FFF2-40B4-BE49-F238E27FC236}">
                      <a16:creationId xmlns:a16="http://schemas.microsoft.com/office/drawing/2014/main" id="{00000000-0008-0000-0300-0000065C0000}"/>
                    </a:ext>
                  </a:extLst>
                </xdr:cNvPr>
                <xdr:cNvSpPr/>
              </xdr:nvSpPr>
              <xdr:spPr bwMode="auto">
                <a:xfrm>
                  <a:off x="2432121" y="5"/>
                  <a:ext cx="499762" cy="18811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23559" name="SearchDownButton" hidden="1">
                  <a:extLst>
                    <a:ext uri="{63B3BB69-23CF-44E3-9099-C40C66FF867C}">
                      <a14:compatExt spid="_x0000_s23559"/>
                    </a:ext>
                    <a:ext uri="{FF2B5EF4-FFF2-40B4-BE49-F238E27FC236}">
                      <a16:creationId xmlns:a16="http://schemas.microsoft.com/office/drawing/2014/main" id="{00000000-0008-0000-0300-0000075C0000}"/>
                    </a:ext>
                  </a:extLst>
                </xdr:cNvPr>
                <xdr:cNvSpPr/>
              </xdr:nvSpPr>
              <xdr:spPr bwMode="auto">
                <a:xfrm>
                  <a:off x="2432121" y="188118"/>
                  <a:ext cx="499758" cy="19288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23560" name="UserSearc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3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4</xdr:col>
          <xdr:colOff>504825</xdr:colOff>
          <xdr:row>2</xdr:row>
          <xdr:rowOff>0</xdr:rowOff>
        </xdr:to>
        <xdr:sp macro="" textlink="">
          <xdr:nvSpPr>
            <xdr:cNvPr id="23561" name="TimeButton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3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3562" name="ShowHideSkinnyButton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3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23563" name="FinishButton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3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23564" name="MatterNoButton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3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23565" name="DateButton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3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904875</xdr:colOff>
          <xdr:row>1</xdr:row>
          <xdr:rowOff>0</xdr:rowOff>
        </xdr:from>
        <xdr:to>
          <xdr:col>2</xdr:col>
          <xdr:colOff>533400</xdr:colOff>
          <xdr:row>2</xdr:row>
          <xdr:rowOff>0</xdr:rowOff>
        </xdr:to>
        <xdr:sp macro="" textlink="">
          <xdr:nvSpPr>
            <xdr:cNvPr id="23566" name="StartButton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3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</xdr:col>
      <xdr:colOff>0</xdr:colOff>
      <xdr:row>1</xdr:row>
      <xdr:rowOff>0</xdr:rowOff>
    </xdr:from>
    <xdr:to>
      <xdr:col>5</xdr:col>
      <xdr:colOff>289320</xdr:colOff>
      <xdr:row>2</xdr:row>
      <xdr:rowOff>0</xdr:rowOff>
    </xdr:to>
    <xdr:grpSp>
      <xdr:nvGrpSpPr>
        <xdr:cNvPr id="18" name="[+]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2934939" y="441402"/>
          <a:ext cx="289320" cy="255549"/>
          <a:chOff x="0" y="7142"/>
          <a:chExt cx="247650" cy="247653"/>
        </a:xfrm>
      </xdr:grpSpPr>
      <xdr:sp macro="" textlink="">
        <xdr:nvSpPr>
          <xdr:cNvPr id="19" name="Plus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16669" y="25389"/>
            <a:ext cx="214313" cy="216694"/>
          </a:xfrm>
          <a:prstGeom prst="mathPlus">
            <a:avLst>
              <a:gd name="adj1" fmla="val 22756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67" name="RowUnhide" hidden="1">
                <a:extLst>
                  <a:ext uri="{63B3BB69-23CF-44E3-9099-C40C66FF867C}">
                    <a14:compatExt spid="_x0000_s23567"/>
                  </a:ext>
                  <a:ext uri="{FF2B5EF4-FFF2-40B4-BE49-F238E27FC236}">
                    <a16:creationId xmlns:a16="http://schemas.microsoft.com/office/drawing/2014/main" id="{00000000-0008-0000-0300-00000F5C0000}"/>
                  </a:ext>
                </a:extLst>
              </xdr:cNvPr>
              <xdr:cNvSpPr/>
            </xdr:nvSpPr>
            <xdr:spPr bwMode="auto">
              <a:xfrm>
                <a:off x="0" y="7142"/>
                <a:ext cx="247650" cy="24765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 fPrintsWithSheet="0"/>
  </xdr:twoCellAnchor>
  <xdr:twoCellAnchor>
    <xdr:from>
      <xdr:col>5</xdr:col>
      <xdr:colOff>289313</xdr:colOff>
      <xdr:row>1</xdr:row>
      <xdr:rowOff>0</xdr:rowOff>
    </xdr:from>
    <xdr:to>
      <xdr:col>5</xdr:col>
      <xdr:colOff>563633</xdr:colOff>
      <xdr:row>2</xdr:row>
      <xdr:rowOff>0</xdr:rowOff>
    </xdr:to>
    <xdr:grpSp>
      <xdr:nvGrpSpPr>
        <xdr:cNvPr id="21" name="[-]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pSpPr/>
      </xdr:nvGrpSpPr>
      <xdr:grpSpPr>
        <a:xfrm>
          <a:off x="3224252" y="441402"/>
          <a:ext cx="274320" cy="255549"/>
          <a:chOff x="250038" y="7326"/>
          <a:chExt cx="247650" cy="247655"/>
        </a:xfrm>
      </xdr:grpSpPr>
      <xdr:sp macro="" textlink="">
        <xdr:nvSpPr>
          <xdr:cNvPr id="22" name="Minus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/>
        </xdr:nvSpPr>
        <xdr:spPr>
          <a:xfrm>
            <a:off x="266704" y="33969"/>
            <a:ext cx="214312" cy="202407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68" name="RowHide" hidden="1">
                <a:extLst>
                  <a:ext uri="{63B3BB69-23CF-44E3-9099-C40C66FF867C}">
                    <a14:compatExt spid="_x0000_s23568"/>
                  </a:ext>
                  <a:ext uri="{FF2B5EF4-FFF2-40B4-BE49-F238E27FC236}">
                    <a16:creationId xmlns:a16="http://schemas.microsoft.com/office/drawing/2014/main" id="{00000000-0008-0000-0300-0000105C0000}"/>
                  </a:ext>
                </a:extLst>
              </xdr:cNvPr>
              <xdr:cNvSpPr/>
            </xdr:nvSpPr>
            <xdr:spPr bwMode="auto">
              <a:xfrm>
                <a:off x="250038" y="7326"/>
                <a:ext cx="247650" cy="24765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21505" name="HideThisSheet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6146" name="CATEGORY_BUTTO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6147" name="TYPE_BUTTO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6569</xdr:rowOff>
    </xdr:from>
    <xdr:to>
      <xdr:col>4</xdr:col>
      <xdr:colOff>0</xdr:colOff>
      <xdr:row>0</xdr:row>
      <xdr:rowOff>237891</xdr:rowOff>
    </xdr:to>
    <xdr:sp macro="" textlink="">
      <xdr:nvSpPr>
        <xdr:cNvPr id="2" name="BACKGROUND" descr="this space intentionally left blank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6569"/>
          <a:ext cx="6060483" cy="231322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275165</xdr:colOff>
      <xdr:row>0</xdr:row>
      <xdr:rowOff>0</xdr:rowOff>
    </xdr:from>
    <xdr:to>
      <xdr:col>0</xdr:col>
      <xdr:colOff>552451</xdr:colOff>
      <xdr:row>1</xdr:row>
      <xdr:rowOff>0</xdr:rowOff>
    </xdr:to>
    <xdr:grpSp>
      <xdr:nvGrpSpPr>
        <xdr:cNvPr id="3" name="MINUS_GROUP" descr="delete current row.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275165" y="0"/>
          <a:ext cx="277286" cy="246152"/>
          <a:chOff x="40828" y="-172255"/>
          <a:chExt cx="393115" cy="256440"/>
        </a:xfrm>
      </xdr:grpSpPr>
      <xdr:sp macro="" textlink="">
        <xdr:nvSpPr>
          <xdr:cNvPr id="4" name="Minus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/>
        </xdr:nvSpPr>
        <xdr:spPr>
          <a:xfrm>
            <a:off x="119513" y="-134211"/>
            <a:ext cx="214310" cy="199516"/>
          </a:xfrm>
          <a:prstGeom prst="mathMinus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8" name="RowDelete" hidden="1">
                <a:extLst>
                  <a:ext uri="{63B3BB69-23CF-44E3-9099-C40C66FF867C}">
                    <a14:compatExt spid="_x0000_s2058"/>
                  </a:ext>
                  <a:ext uri="{FF2B5EF4-FFF2-40B4-BE49-F238E27FC236}">
                    <a16:creationId xmlns:a16="http://schemas.microsoft.com/office/drawing/2014/main" id="{00000000-0008-0000-0600-00000A080000}"/>
                  </a:ext>
                </a:extLst>
              </xdr:cNvPr>
              <xdr:cNvSpPr/>
            </xdr:nvSpPr>
            <xdr:spPr bwMode="auto">
              <a:xfrm>
                <a:off x="40828" y="-172255"/>
                <a:ext cx="393115" cy="2564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2059" name="WIDE_BAR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6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4332</xdr:colOff>
          <xdr:row>0</xdr:row>
          <xdr:rowOff>5444</xdr:rowOff>
        </xdr:from>
        <xdr:to>
          <xdr:col>5</xdr:col>
          <xdr:colOff>0</xdr:colOff>
          <xdr:row>1</xdr:row>
          <xdr:rowOff>0</xdr:rowOff>
        </xdr:to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00000000-0008-0000-0600-000006000000}"/>
                </a:ext>
              </a:extLst>
            </xdr:cNvPr>
            <xdr:cNvGrpSpPr/>
          </xdr:nvGrpSpPr>
          <xdr:grpSpPr>
            <a:xfrm>
              <a:off x="6982197" y="5444"/>
              <a:ext cx="402354" cy="240708"/>
              <a:chOff x="6057999" y="5444"/>
              <a:chExt cx="379692" cy="244930"/>
            </a:xfrm>
          </xdr:grpSpPr>
          <xdr:sp macro="" textlink="">
            <xdr:nvSpPr>
              <xdr:cNvPr id="2060" name="HEMI" hidden="1">
                <a:extLst>
                  <a:ext uri="{63B3BB69-23CF-44E3-9099-C40C66FF867C}">
                    <a14:compatExt spid="_x0000_s2060"/>
                  </a:ext>
                  <a:ext uri="{FF2B5EF4-FFF2-40B4-BE49-F238E27FC236}">
                    <a16:creationId xmlns:a16="http://schemas.microsoft.com/office/drawing/2014/main" id="{00000000-0008-0000-0600-00000C080000}"/>
                  </a:ext>
                </a:extLst>
              </xdr:cNvPr>
              <xdr:cNvSpPr/>
            </xdr:nvSpPr>
            <xdr:spPr bwMode="auto">
              <a:xfrm>
                <a:off x="6161534" y="42266"/>
                <a:ext cx="162530" cy="169660"/>
              </a:xfrm>
              <a:prstGeom prst="rect">
                <a:avLst/>
              </a:prstGeom>
              <a:noFill/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</a:extLst>
            </xdr:spPr>
          </xdr:sp>
          <xdr:sp macro="" textlink="">
            <xdr:nvSpPr>
              <xdr:cNvPr id="2061" name="ShowHide" hidden="1">
                <a:extLst>
                  <a:ext uri="{63B3BB69-23CF-44E3-9099-C40C66FF867C}">
                    <a14:compatExt spid="_x0000_s2061"/>
                  </a:ext>
                  <a:ext uri="{FF2B5EF4-FFF2-40B4-BE49-F238E27FC236}">
                    <a16:creationId xmlns:a16="http://schemas.microsoft.com/office/drawing/2014/main" id="{00000000-0008-0000-0600-00000D080000}"/>
                  </a:ext>
                </a:extLst>
              </xdr:cNvPr>
              <xdr:cNvSpPr/>
            </xdr:nvSpPr>
            <xdr:spPr bwMode="auto">
              <a:xfrm>
                <a:off x="6057999" y="5444"/>
                <a:ext cx="379692" cy="24493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275165</xdr:colOff>
      <xdr:row>1</xdr:row>
      <xdr:rowOff>0</xdr:rowOff>
    </xdr:to>
    <xdr:grpSp>
      <xdr:nvGrpSpPr>
        <xdr:cNvPr id="10" name="PLUS_GROUP" descr="swap cell above with the one below&#10;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0" y="0"/>
          <a:ext cx="275165" cy="246152"/>
          <a:chOff x="0" y="4181"/>
          <a:chExt cx="281301" cy="243478"/>
        </a:xfrm>
      </xdr:grpSpPr>
      <xdr:sp macro="" textlink="">
        <xdr:nvSpPr>
          <xdr:cNvPr id="11" name="Plus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/>
        </xdr:nvSpPr>
        <xdr:spPr>
          <a:xfrm>
            <a:off x="26037" y="24176"/>
            <a:ext cx="229818" cy="207711"/>
          </a:xfrm>
          <a:prstGeom prst="mathPlus">
            <a:avLst>
              <a:gd name="adj1" fmla="val 22756"/>
            </a:avLst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62" name="RowInsert" hidden="1">
                <a:extLst>
                  <a:ext uri="{63B3BB69-23CF-44E3-9099-C40C66FF867C}">
                    <a14:compatExt spid="_x0000_s2062"/>
                  </a:ext>
                  <a:ext uri="{FF2B5EF4-FFF2-40B4-BE49-F238E27FC236}">
                    <a16:creationId xmlns:a16="http://schemas.microsoft.com/office/drawing/2014/main" id="{00000000-0008-0000-0600-00000E080000}"/>
                  </a:ext>
                </a:extLst>
              </xdr:cNvPr>
              <xdr:cNvSpPr/>
            </xdr:nvSpPr>
            <xdr:spPr bwMode="auto">
              <a:xfrm>
                <a:off x="0" y="4181"/>
                <a:ext cx="281301" cy="24347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355908</xdr:colOff>
      <xdr:row>1</xdr:row>
      <xdr:rowOff>164307</xdr:rowOff>
    </xdr:to>
    <xdr:pic>
      <xdr:nvPicPr>
        <xdr:cNvPr id="2" name="dbl_arrow_pic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802" t="1458" r="5567" b="3367"/>
        <a:stretch/>
      </xdr:blipFill>
      <xdr:spPr>
        <a:xfrm flipH="1">
          <a:off x="0" y="0"/>
          <a:ext cx="355908" cy="354807"/>
        </a:xfrm>
        <a:prstGeom prst="rect">
          <a:avLst/>
        </a:prstGeom>
      </xdr:spPr>
    </xdr:pic>
    <xdr:clientData/>
  </xdr:twoCellAnchor>
  <xdr:twoCellAnchor>
    <xdr:from>
      <xdr:col>2</xdr:col>
      <xdr:colOff>369094</xdr:colOff>
      <xdr:row>0</xdr:row>
      <xdr:rowOff>0</xdr:rowOff>
    </xdr:from>
    <xdr:to>
      <xdr:col>6</xdr:col>
      <xdr:colOff>121444</xdr:colOff>
      <xdr:row>11</xdr:row>
      <xdr:rowOff>63883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pSpPr/>
      </xdr:nvGrpSpPr>
      <xdr:grpSpPr>
        <a:xfrm>
          <a:off x="1586315" y="0"/>
          <a:ext cx="2186791" cy="2159383"/>
          <a:chOff x="11990773" y="14019"/>
          <a:chExt cx="489625" cy="489625"/>
        </a:xfrm>
        <a:solidFill>
          <a:sysClr val="window" lastClr="FFFFFF"/>
        </a:solidFill>
      </xdr:grpSpPr>
      <xdr:sp macro="" textlink="">
        <xdr:nvSpPr>
          <xdr:cNvPr id="10" name="Arrow: Left-Right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 rot="-2700000">
            <a:off x="11990773" y="149384"/>
            <a:ext cx="489625" cy="218895"/>
          </a:xfrm>
          <a:prstGeom prst="leftRightArrow">
            <a:avLst>
              <a:gd name="adj1" fmla="val 42964"/>
              <a:gd name="adj2" fmla="val 49878"/>
            </a:avLst>
          </a:prstGeom>
          <a:grpFill/>
          <a:ln w="9525" cap="flat" cmpd="sng" algn="ctr">
            <a:solidFill>
              <a:sysClr val="window" lastClr="FFFFFF"/>
            </a:solidFill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" name="Arrow: Left-Right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 rot="2700000" flipH="1">
            <a:off x="11990774" y="149384"/>
            <a:ext cx="489625" cy="218895"/>
          </a:xfrm>
          <a:prstGeom prst="leftRightArrow">
            <a:avLst>
              <a:gd name="adj1" fmla="val 42964"/>
              <a:gd name="adj2" fmla="val 49878"/>
            </a:avLst>
          </a:prstGeom>
          <a:grpFill/>
          <a:ln w="9525" cap="flat" cmpd="sng" algn="ctr">
            <a:solidFill>
              <a:sysClr val="window" lastClr="FFFFFF"/>
            </a:solidFill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2</xdr:col>
      <xdr:colOff>2381</xdr:colOff>
      <xdr:row>1</xdr:row>
      <xdr:rowOff>11906</xdr:rowOff>
    </xdr:from>
    <xdr:to>
      <xdr:col>2</xdr:col>
      <xdr:colOff>357189</xdr:colOff>
      <xdr:row>2</xdr:row>
      <xdr:rowOff>171450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661" t="3310" r="697" b="-627"/>
        <a:stretch/>
      </xdr:blipFill>
      <xdr:spPr>
        <a:xfrm>
          <a:off x="1221581" y="202406"/>
          <a:ext cx="354808" cy="3500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control" Target="../activeX/activeX16.xml"/><Relationship Id="rId18" Type="http://schemas.openxmlformats.org/officeDocument/2006/relationships/image" Target="../media/image15.emf"/><Relationship Id="rId26" Type="http://schemas.openxmlformats.org/officeDocument/2006/relationships/image" Target="../media/image19.emf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21.xml"/><Relationship Id="rId7" Type="http://schemas.openxmlformats.org/officeDocument/2006/relationships/image" Target="../media/image11.emf"/><Relationship Id="rId12" Type="http://schemas.openxmlformats.org/officeDocument/2006/relationships/image" Target="../media/image13.emf"/><Relationship Id="rId17" Type="http://schemas.openxmlformats.org/officeDocument/2006/relationships/control" Target="../activeX/activeX19.xml"/><Relationship Id="rId25" Type="http://schemas.openxmlformats.org/officeDocument/2006/relationships/control" Target="../activeX/activeX23.xml"/><Relationship Id="rId2" Type="http://schemas.openxmlformats.org/officeDocument/2006/relationships/drawing" Target="../drawings/drawing2.xml"/><Relationship Id="rId16" Type="http://schemas.openxmlformats.org/officeDocument/2006/relationships/image" Target="../media/image14.emf"/><Relationship Id="rId20" Type="http://schemas.openxmlformats.org/officeDocument/2006/relationships/image" Target="../media/image16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control" Target="../activeX/activeX15.xml"/><Relationship Id="rId24" Type="http://schemas.openxmlformats.org/officeDocument/2006/relationships/image" Target="../media/image18.emf"/><Relationship Id="rId5" Type="http://schemas.openxmlformats.org/officeDocument/2006/relationships/image" Target="../media/image10.emf"/><Relationship Id="rId15" Type="http://schemas.openxmlformats.org/officeDocument/2006/relationships/control" Target="../activeX/activeX18.xml"/><Relationship Id="rId23" Type="http://schemas.openxmlformats.org/officeDocument/2006/relationships/control" Target="../activeX/activeX22.xml"/><Relationship Id="rId10" Type="http://schemas.openxmlformats.org/officeDocument/2006/relationships/control" Target="../activeX/activeX14.xml"/><Relationship Id="rId19" Type="http://schemas.openxmlformats.org/officeDocument/2006/relationships/control" Target="../activeX/activeX20.xml"/><Relationship Id="rId4" Type="http://schemas.openxmlformats.org/officeDocument/2006/relationships/control" Target="../activeX/activeX11.xml"/><Relationship Id="rId9" Type="http://schemas.openxmlformats.org/officeDocument/2006/relationships/image" Target="../media/image12.emf"/><Relationship Id="rId14" Type="http://schemas.openxmlformats.org/officeDocument/2006/relationships/control" Target="../activeX/activeX17.xml"/><Relationship Id="rId22" Type="http://schemas.openxmlformats.org/officeDocument/2006/relationships/image" Target="../media/image17.emf"/><Relationship Id="rId27" Type="http://schemas.openxmlformats.org/officeDocument/2006/relationships/control" Target="../activeX/activeX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control" Target="../activeX/activeX30.xml"/><Relationship Id="rId18" Type="http://schemas.openxmlformats.org/officeDocument/2006/relationships/image" Target="../media/image3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28.emf"/><Relationship Id="rId12" Type="http://schemas.openxmlformats.org/officeDocument/2006/relationships/control" Target="../activeX/activeX29.xml"/><Relationship Id="rId17" Type="http://schemas.openxmlformats.org/officeDocument/2006/relationships/control" Target="../activeX/activeX32.xml"/><Relationship Id="rId2" Type="http://schemas.openxmlformats.org/officeDocument/2006/relationships/drawing" Target="../drawings/drawing3.xml"/><Relationship Id="rId16" Type="http://schemas.openxmlformats.org/officeDocument/2006/relationships/image" Target="../media/image7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6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control" Target="../activeX/activeX31.xml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29.emf"/><Relationship Id="rId14" Type="http://schemas.openxmlformats.org/officeDocument/2006/relationships/image" Target="../media/image3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control" Target="../activeX/activeX38.xml"/><Relationship Id="rId18" Type="http://schemas.openxmlformats.org/officeDocument/2006/relationships/image" Target="../media/image37.emf"/><Relationship Id="rId3" Type="http://schemas.openxmlformats.org/officeDocument/2006/relationships/vmlDrawing" Target="../drawings/vmlDrawing4.vml"/><Relationship Id="rId21" Type="http://schemas.openxmlformats.org/officeDocument/2006/relationships/image" Target="../media/image31.emf"/><Relationship Id="rId7" Type="http://schemas.openxmlformats.org/officeDocument/2006/relationships/image" Target="../media/image34.emf"/><Relationship Id="rId12" Type="http://schemas.openxmlformats.org/officeDocument/2006/relationships/image" Target="../media/image28.emf"/><Relationship Id="rId17" Type="http://schemas.openxmlformats.org/officeDocument/2006/relationships/control" Target="../activeX/activeX40.xml"/><Relationship Id="rId25" Type="http://schemas.openxmlformats.org/officeDocument/2006/relationships/image" Target="../media/image39.emf"/><Relationship Id="rId2" Type="http://schemas.openxmlformats.org/officeDocument/2006/relationships/drawing" Target="../drawings/drawing4.xml"/><Relationship Id="rId16" Type="http://schemas.openxmlformats.org/officeDocument/2006/relationships/image" Target="../media/image29.emf"/><Relationship Id="rId20" Type="http://schemas.openxmlformats.org/officeDocument/2006/relationships/control" Target="../activeX/activeX4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4.xml"/><Relationship Id="rId11" Type="http://schemas.openxmlformats.org/officeDocument/2006/relationships/control" Target="../activeX/activeX37.xml"/><Relationship Id="rId24" Type="http://schemas.openxmlformats.org/officeDocument/2006/relationships/control" Target="../activeX/activeX44.xml"/><Relationship Id="rId5" Type="http://schemas.openxmlformats.org/officeDocument/2006/relationships/image" Target="../media/image33.emf"/><Relationship Id="rId15" Type="http://schemas.openxmlformats.org/officeDocument/2006/relationships/control" Target="../activeX/activeX39.xml"/><Relationship Id="rId23" Type="http://schemas.openxmlformats.org/officeDocument/2006/relationships/image" Target="../media/image38.emf"/><Relationship Id="rId10" Type="http://schemas.openxmlformats.org/officeDocument/2006/relationships/image" Target="../media/image35.emf"/><Relationship Id="rId19" Type="http://schemas.openxmlformats.org/officeDocument/2006/relationships/control" Target="../activeX/activeX41.xml"/><Relationship Id="rId4" Type="http://schemas.openxmlformats.org/officeDocument/2006/relationships/control" Target="../activeX/activeX33.xml"/><Relationship Id="rId9" Type="http://schemas.openxmlformats.org/officeDocument/2006/relationships/control" Target="../activeX/activeX36.xml"/><Relationship Id="rId14" Type="http://schemas.openxmlformats.org/officeDocument/2006/relationships/image" Target="../media/image36.emf"/><Relationship Id="rId22" Type="http://schemas.openxmlformats.org/officeDocument/2006/relationships/control" Target="../activeX/activeX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40.emf"/><Relationship Id="rId4" Type="http://schemas.openxmlformats.org/officeDocument/2006/relationships/control" Target="../activeX/activeX4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4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7.xml"/><Relationship Id="rId5" Type="http://schemas.openxmlformats.org/officeDocument/2006/relationships/image" Target="../media/image41.emf"/><Relationship Id="rId4" Type="http://schemas.openxmlformats.org/officeDocument/2006/relationships/control" Target="../activeX/activeX4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4.emf"/><Relationship Id="rId12" Type="http://schemas.openxmlformats.org/officeDocument/2006/relationships/control" Target="../activeX/activeX5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8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0" Type="http://schemas.openxmlformats.org/officeDocument/2006/relationships/control" Target="../activeX/activeX50.xml"/><Relationship Id="rId4" Type="http://schemas.openxmlformats.org/officeDocument/2006/relationships/package" Target="../embeddings/Microsoft_Visio_Drawing.vsdx"/><Relationship Id="rId9" Type="http://schemas.openxmlformats.org/officeDocument/2006/relationships/image" Target="../media/image45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BDA58-8B62-4BCD-B0EE-1FC35180D863}">
  <sheetPr codeName="Sheet1">
    <tabColor rgb="FF466166"/>
  </sheetPr>
  <dimension ref="A1:G26"/>
  <sheetViews>
    <sheetView zoomScale="137" zoomScaleNormal="137" workbookViewId="0">
      <pane ySplit="1" topLeftCell="A2" activePane="bottomLeft" state="frozenSplit"/>
      <selection pane="bottomLeft" activeCell="F28" sqref="F28"/>
    </sheetView>
  </sheetViews>
  <sheetFormatPr defaultColWidth="21" defaultRowHeight="12.75" x14ac:dyDescent="0.25"/>
  <cols>
    <col min="1" max="1" width="7.42578125" style="101" customWidth="1"/>
    <col min="2" max="2" width="9.85546875" style="105" customWidth="1"/>
    <col min="3" max="3" width="8" style="108" hidden="1" customWidth="1"/>
    <col min="4" max="4" width="7.42578125" style="108" hidden="1" customWidth="1"/>
    <col min="5" max="5" width="7.5703125" style="105" customWidth="1"/>
    <col min="6" max="6" width="83.42578125" style="98" customWidth="1"/>
    <col min="7" max="7" width="12.140625" style="50" customWidth="1"/>
    <col min="8" max="8" width="11.28515625" style="49" customWidth="1"/>
    <col min="9" max="11" width="1.85546875" style="49" customWidth="1"/>
    <col min="12" max="13" width="21" style="49" customWidth="1"/>
    <col min="14" max="16384" width="21" style="49"/>
  </cols>
  <sheetData>
    <row r="1" spans="1:7" s="57" customFormat="1" ht="20.25" customHeight="1" x14ac:dyDescent="0.2">
      <c r="A1" s="99" t="s">
        <v>169</v>
      </c>
      <c r="B1" s="102" t="s">
        <v>168</v>
      </c>
      <c r="C1" s="106" t="s">
        <v>168</v>
      </c>
      <c r="D1" s="109" t="s">
        <v>168</v>
      </c>
      <c r="E1" s="110" t="s">
        <v>168</v>
      </c>
      <c r="F1" s="95" t="s">
        <v>168</v>
      </c>
      <c r="G1" s="64"/>
    </row>
    <row r="2" spans="1:7" s="57" customFormat="1" ht="0.75" customHeight="1" x14ac:dyDescent="0.2">
      <c r="A2" s="100"/>
      <c r="B2" s="103" t="s">
        <v>155</v>
      </c>
      <c r="C2" s="107" t="s">
        <v>155</v>
      </c>
      <c r="D2" s="107" t="s">
        <v>155</v>
      </c>
      <c r="E2" s="103" t="s">
        <v>155</v>
      </c>
      <c r="F2" s="96" t="s">
        <v>155</v>
      </c>
      <c r="G2" s="58"/>
    </row>
    <row r="3" spans="1:7" s="55" customFormat="1" x14ac:dyDescent="0.25">
      <c r="A3" s="299" t="str">
        <f t="shared" ref="A3:A7" ca="1" si="0">IF(B3&lt;&gt;"",IF(A3="",TODAY(),A3),"")</f>
        <v/>
      </c>
      <c r="B3" s="300"/>
      <c r="C3" s="301"/>
      <c r="D3" s="301"/>
      <c r="E3" s="302">
        <f t="shared" ref="E3:E7" si="1">(((D3-C3)-INT(D3-C3))*24)</f>
        <v>0</v>
      </c>
      <c r="F3" s="303"/>
      <c r="G3" s="56"/>
    </row>
    <row r="4" spans="1:7" s="55" customFormat="1" x14ac:dyDescent="0.25">
      <c r="A4" s="299" t="str">
        <f t="shared" ca="1" si="0"/>
        <v/>
      </c>
      <c r="B4" s="300"/>
      <c r="C4" s="301"/>
      <c r="D4" s="301"/>
      <c r="E4" s="302">
        <f t="shared" si="1"/>
        <v>0</v>
      </c>
      <c r="F4" s="303"/>
      <c r="G4" s="56"/>
    </row>
    <row r="5" spans="1:7" s="55" customFormat="1" x14ac:dyDescent="0.25">
      <c r="A5" s="299" t="str">
        <f t="shared" ca="1" si="0"/>
        <v/>
      </c>
      <c r="B5" s="300"/>
      <c r="C5" s="301"/>
      <c r="D5" s="301"/>
      <c r="E5" s="302">
        <f t="shared" si="1"/>
        <v>0</v>
      </c>
      <c r="F5" s="303"/>
      <c r="G5" s="56"/>
    </row>
    <row r="6" spans="1:7" s="55" customFormat="1" x14ac:dyDescent="0.25">
      <c r="A6" s="299" t="str">
        <f t="shared" ca="1" si="0"/>
        <v/>
      </c>
      <c r="B6" s="300"/>
      <c r="C6" s="301"/>
      <c r="D6" s="301"/>
      <c r="E6" s="302">
        <f t="shared" si="1"/>
        <v>0</v>
      </c>
      <c r="F6" s="303"/>
      <c r="G6" s="56"/>
    </row>
    <row r="7" spans="1:7" s="55" customFormat="1" x14ac:dyDescent="0.25">
      <c r="A7" s="299" t="str">
        <f t="shared" ca="1" si="0"/>
        <v/>
      </c>
      <c r="B7" s="300"/>
      <c r="C7" s="301"/>
      <c r="D7" s="301"/>
      <c r="E7" s="302">
        <f t="shared" si="1"/>
        <v>0</v>
      </c>
      <c r="F7" s="303"/>
      <c r="G7" s="56"/>
    </row>
    <row r="8" spans="1:7" s="55" customFormat="1" x14ac:dyDescent="0.25">
      <c r="A8" s="299" t="str">
        <f t="shared" ref="A8:A13" ca="1" si="2">IF(B8&lt;&gt;"",IF(A8="",TODAY(),A8),"")</f>
        <v/>
      </c>
      <c r="B8" s="300"/>
      <c r="C8" s="301"/>
      <c r="D8" s="301"/>
      <c r="E8" s="302">
        <f t="shared" ref="E8:E13" si="3">(((D8-C8)-INT(D8-C8))*24)</f>
        <v>0</v>
      </c>
      <c r="F8" s="303"/>
      <c r="G8" s="56"/>
    </row>
    <row r="9" spans="1:7" s="55" customFormat="1" x14ac:dyDescent="0.25">
      <c r="A9" s="299" t="str">
        <f t="shared" ca="1" si="2"/>
        <v/>
      </c>
      <c r="B9" s="300"/>
      <c r="C9" s="301"/>
      <c r="D9" s="301"/>
      <c r="E9" s="302">
        <f t="shared" si="3"/>
        <v>0</v>
      </c>
      <c r="F9" s="303"/>
      <c r="G9" s="56"/>
    </row>
    <row r="10" spans="1:7" s="55" customFormat="1" x14ac:dyDescent="0.25">
      <c r="A10" s="299" t="str">
        <f t="shared" ca="1" si="2"/>
        <v/>
      </c>
      <c r="B10" s="300"/>
      <c r="C10" s="301"/>
      <c r="D10" s="301"/>
      <c r="E10" s="302">
        <f t="shared" si="3"/>
        <v>0</v>
      </c>
      <c r="F10" s="303"/>
      <c r="G10" s="56"/>
    </row>
    <row r="11" spans="1:7" s="55" customFormat="1" x14ac:dyDescent="0.25">
      <c r="A11" s="299" t="str">
        <f t="shared" ca="1" si="2"/>
        <v/>
      </c>
      <c r="B11" s="300"/>
      <c r="C11" s="301"/>
      <c r="D11" s="301"/>
      <c r="E11" s="302">
        <f t="shared" si="3"/>
        <v>0</v>
      </c>
      <c r="F11" s="303"/>
      <c r="G11" s="56"/>
    </row>
    <row r="12" spans="1:7" s="55" customFormat="1" x14ac:dyDescent="0.25">
      <c r="A12" s="299" t="str">
        <f t="shared" ca="1" si="2"/>
        <v/>
      </c>
      <c r="B12" s="300"/>
      <c r="C12" s="301"/>
      <c r="D12" s="301"/>
      <c r="E12" s="302">
        <f t="shared" si="3"/>
        <v>0</v>
      </c>
      <c r="F12" s="303"/>
      <c r="G12" s="56"/>
    </row>
    <row r="13" spans="1:7" s="55" customFormat="1" x14ac:dyDescent="0.25">
      <c r="A13" s="299" t="str">
        <f t="shared" ca="1" si="2"/>
        <v/>
      </c>
      <c r="B13" s="300"/>
      <c r="C13" s="301"/>
      <c r="D13" s="301"/>
      <c r="E13" s="302">
        <f t="shared" si="3"/>
        <v>0</v>
      </c>
      <c r="F13" s="303"/>
      <c r="G13" s="56"/>
    </row>
    <row r="14" spans="1:7" s="55" customFormat="1" x14ac:dyDescent="0.25">
      <c r="A14" s="299" t="str">
        <f t="shared" ref="A14:A16" ca="1" si="4">IF(B14&lt;&gt;"",IF(A14="",TODAY(),A14),"")</f>
        <v/>
      </c>
      <c r="B14" s="300"/>
      <c r="C14" s="301"/>
      <c r="D14" s="301"/>
      <c r="E14" s="302">
        <f t="shared" ref="E14:E16" si="5">(((D14-C14)-INT(D14-C14))*24)</f>
        <v>0</v>
      </c>
      <c r="F14" s="303"/>
      <c r="G14" s="56"/>
    </row>
    <row r="15" spans="1:7" s="55" customFormat="1" x14ac:dyDescent="0.25">
      <c r="A15" s="299" t="str">
        <f t="shared" ca="1" si="4"/>
        <v/>
      </c>
      <c r="B15" s="300"/>
      <c r="C15" s="301"/>
      <c r="D15" s="301"/>
      <c r="E15" s="302">
        <f t="shared" si="5"/>
        <v>0</v>
      </c>
      <c r="F15" s="303"/>
      <c r="G15" s="56"/>
    </row>
    <row r="16" spans="1:7" s="55" customFormat="1" x14ac:dyDescent="0.25">
      <c r="A16" s="299" t="str">
        <f t="shared" ca="1" si="4"/>
        <v/>
      </c>
      <c r="B16" s="300"/>
      <c r="C16" s="301"/>
      <c r="D16" s="301"/>
      <c r="E16" s="302">
        <f t="shared" si="5"/>
        <v>0</v>
      </c>
      <c r="F16" s="303"/>
      <c r="G16" s="56"/>
    </row>
    <row r="17" spans="1:7" s="55" customFormat="1" x14ac:dyDescent="0.25">
      <c r="A17" s="299" t="str">
        <f t="shared" ref="A17" ca="1" si="6">IF(B17&lt;&gt;"",IF(A17="",TODAY(),A17),"")</f>
        <v/>
      </c>
      <c r="B17" s="300"/>
      <c r="C17" s="301"/>
      <c r="D17" s="301"/>
      <c r="E17" s="302">
        <f t="shared" ref="E17" si="7">(((D17-C17)-INT(D17-C17))*24)</f>
        <v>0</v>
      </c>
      <c r="F17" s="303"/>
      <c r="G17" s="56"/>
    </row>
    <row r="18" spans="1:7" s="55" customFormat="1" x14ac:dyDescent="0.25">
      <c r="A18" s="299" t="str">
        <f t="shared" ref="A18" ca="1" si="8">IF(B18&lt;&gt;"",IF(A18="",TODAY(),A18),"")</f>
        <v/>
      </c>
      <c r="B18" s="300"/>
      <c r="C18" s="301"/>
      <c r="D18" s="301"/>
      <c r="E18" s="302">
        <f t="shared" ref="E18" si="9">(((D18-C18)-INT(D18-C18))*24)</f>
        <v>0</v>
      </c>
      <c r="F18" s="303"/>
      <c r="G18" s="56"/>
    </row>
    <row r="19" spans="1:7" ht="9" customHeight="1" x14ac:dyDescent="0.25">
      <c r="B19" s="104"/>
      <c r="E19" s="111"/>
      <c r="F19" s="97"/>
      <c r="G19" s="49"/>
    </row>
    <row r="20" spans="1:7" x14ac:dyDescent="0.25">
      <c r="A20" s="305" t="s">
        <v>171</v>
      </c>
    </row>
    <row r="21" spans="1:7" x14ac:dyDescent="0.25">
      <c r="A21" s="184" t="s">
        <v>172</v>
      </c>
    </row>
    <row r="22" spans="1:7" x14ac:dyDescent="0.25">
      <c r="A22" s="184" t="s">
        <v>173</v>
      </c>
    </row>
    <row r="23" spans="1:7" x14ac:dyDescent="0.25">
      <c r="A23" s="184" t="s">
        <v>174</v>
      </c>
    </row>
    <row r="24" spans="1:7" x14ac:dyDescent="0.25">
      <c r="A24" s="184" t="s">
        <v>175</v>
      </c>
    </row>
    <row r="25" spans="1:7" x14ac:dyDescent="0.25">
      <c r="A25" s="184" t="s">
        <v>176</v>
      </c>
    </row>
    <row r="26" spans="1:7" x14ac:dyDescent="0.25">
      <c r="A26" s="184" t="s">
        <v>177</v>
      </c>
    </row>
  </sheetData>
  <autoFilter ref="A2:F18" xr:uid="{C88CBE92-0731-4C00-9928-2883B82054D2}"/>
  <sortState xmlns:xlrd2="http://schemas.microsoft.com/office/spreadsheetml/2017/richdata2" ref="A21:A26">
    <sortCondition ref="A21"/>
  </sortState>
  <conditionalFormatting sqref="A3:F18">
    <cfRule type="expression" dxfId="158" priority="69">
      <formula>ISEVEN(ROW())</formula>
    </cfRule>
  </conditionalFormatting>
  <dataValidations count="2">
    <dataValidation type="list" allowBlank="1" showInputMessage="1" promptTitle="Time Entry" prompt="Input NARRATIVE or select from dropdown menu.                _x000a_" sqref="F3:F18" xr:uid="{6A30F708-D8A5-4847-8BD3-E4F203CEF175}">
      <formula1>Narratives</formula1>
    </dataValidation>
    <dataValidation type="list" allowBlank="1" showInputMessage="1" promptTitle="Time Entry" prompt="Input Matter Number or select from dropdown." sqref="B3:B18" xr:uid="{0C7D9D48-9A36-4A7F-A4C3-F9DD420F97EC}">
      <formula1>AGENDA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2" r:id="rId4" name="FULL_SCREEN">
          <controlPr defaultSize="0" autoLine="0" r:id="rId5">
            <anchor moveWithCells="1">
              <from>
                <xdr:col>5</xdr:col>
                <xdr:colOff>0</xdr:colOff>
                <xdr:row>0</xdr:row>
                <xdr:rowOff>0</xdr:rowOff>
              </from>
              <to>
                <xdr:col>5</xdr:col>
                <xdr:colOff>257175</xdr:colOff>
                <xdr:row>1</xdr:row>
                <xdr:rowOff>0</xdr:rowOff>
              </to>
            </anchor>
          </controlPr>
        </control>
      </mc:Choice>
      <mc:Fallback>
        <control shapeId="20512" r:id="rId4" name="FULL_SCREEN"/>
      </mc:Fallback>
    </mc:AlternateContent>
    <mc:AlternateContent xmlns:mc="http://schemas.openxmlformats.org/markup-compatibility/2006">
      <mc:Choice Requires="x14">
        <control shapeId="20482" r:id="rId6" name="TIME_COLUMN">
          <controlPr defaultSize="0" autoLine="0" altText="Hides &quot;Start and Finish&quot; Column so time entries are presentable when exported by email." r:id="rId7">
            <anchor moveWithCells="1" sizeWithCells="1">
              <from>
                <xdr:col>3</xdr:col>
                <xdr:colOff>495300</xdr:colOff>
                <xdr:row>0</xdr:row>
                <xdr:rowOff>0</xdr:rowOff>
              </from>
              <to>
                <xdr:col>4</xdr:col>
                <xdr:colOff>504825</xdr:colOff>
                <xdr:row>1</xdr:row>
                <xdr:rowOff>0</xdr:rowOff>
              </to>
            </anchor>
          </controlPr>
        </control>
      </mc:Choice>
      <mc:Fallback>
        <control shapeId="20482" r:id="rId6" name="TIME_COLUMN"/>
      </mc:Fallback>
    </mc:AlternateContent>
    <mc:AlternateContent xmlns:mc="http://schemas.openxmlformats.org/markup-compatibility/2006">
      <mc:Choice Requires="x14">
        <control shapeId="20483" r:id="rId8" name="END_COLUMN">
          <controlPr defaultSize="0" print="0" autoLine="0" altText="Inserts current time in first empty cell below as the end time for the time entry." r:id="rId9">
            <anchor moveWithCells="1" sizeWithCells="1">
              <from>
                <xdr:col>2</xdr:col>
                <xdr:colOff>533400</xdr:colOff>
                <xdr:row>0</xdr:row>
                <xdr:rowOff>0</xdr:rowOff>
              </from>
              <to>
                <xdr:col>4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483" r:id="rId8" name="END_COLUMN"/>
      </mc:Fallback>
    </mc:AlternateContent>
    <mc:AlternateContent xmlns:mc="http://schemas.openxmlformats.org/markup-compatibility/2006">
      <mc:Choice Requires="x14">
        <control shapeId="20484" r:id="rId10" name="MATTER_COLUMN">
          <controlPr defaultSize="0" autoLine="0" altText="Duplicates the matter number of the last time entry in the first empty cell below." r:id="rId11">
            <anchor moveWithCells="1" sizeWithCells="1">
              <from>
                <xdr:col>1</xdr:col>
                <xdr:colOff>0</xdr:colOff>
                <xdr:row>0</xdr:row>
                <xdr:rowOff>0</xdr:rowOff>
              </from>
              <to>
                <xdr:col>1</xdr:col>
                <xdr:colOff>762000</xdr:colOff>
                <xdr:row>1</xdr:row>
                <xdr:rowOff>0</xdr:rowOff>
              </to>
            </anchor>
          </controlPr>
        </control>
      </mc:Choice>
      <mc:Fallback>
        <control shapeId="20484" r:id="rId10" name="MATTER_COLUMN"/>
      </mc:Fallback>
    </mc:AlternateContent>
    <mc:AlternateContent xmlns:mc="http://schemas.openxmlformats.org/markup-compatibility/2006">
      <mc:Choice Requires="x14">
        <control shapeId="20485" r:id="rId12" name="DATE_COLUMN">
          <controlPr defaultSize="0" print="0" autoFill="0" autoLine="0" altText="Inserts today's date in first empty cell below." r:id="rId13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485" r:id="rId12" name="DATE_COLUMN"/>
      </mc:Fallback>
    </mc:AlternateContent>
    <mc:AlternateContent xmlns:mc="http://schemas.openxmlformats.org/markup-compatibility/2006">
      <mc:Choice Requires="x14">
        <control shapeId="20486" r:id="rId14" name="START_COLUMN">
          <controlPr defaultSize="0" autoLine="0" altText="Inserts current time in first empty cell below as the start time for the time entry." r:id="rId15">
            <anchor moveWithCells="1" sizeWithCells="1">
              <from>
                <xdr:col>1</xdr:col>
                <xdr:colOff>657225</xdr:colOff>
                <xdr:row>0</xdr:row>
                <xdr:rowOff>0</xdr:rowOff>
              </from>
              <to>
                <xdr:col>2</xdr:col>
                <xdr:colOff>533400</xdr:colOff>
                <xdr:row>1</xdr:row>
                <xdr:rowOff>0</xdr:rowOff>
              </to>
            </anchor>
          </controlPr>
        </control>
      </mc:Choice>
      <mc:Fallback>
        <control shapeId="20486" r:id="rId14" name="START_COLUMN"/>
      </mc:Fallback>
    </mc:AlternateContent>
    <mc:AlternateContent xmlns:mc="http://schemas.openxmlformats.org/markup-compatibility/2006">
      <mc:Choice Requires="x14">
        <control shapeId="20487" r:id="rId16" name="MINUS_BUTTON">
          <controlPr defaultSize="0" autoLine="0" r:id="rId17">
            <anchor moveWithCells="1">
              <from>
                <xdr:col>5</xdr:col>
                <xdr:colOff>5305425</xdr:colOff>
                <xdr:row>0</xdr:row>
                <xdr:rowOff>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487" r:id="rId16" name="MINUS_BUTTON"/>
      </mc:Fallback>
    </mc:AlternateContent>
    <mc:AlternateContent xmlns:mc="http://schemas.openxmlformats.org/markup-compatibility/2006">
      <mc:Choice Requires="x14">
        <control shapeId="20488" r:id="rId18" name="PLUS_BUTTON">
          <controlPr defaultSize="0" autoLine="0" altText="" r:id="rId5">
            <anchor moveWithCells="1">
              <from>
                <xdr:col>5</xdr:col>
                <xdr:colOff>5048250</xdr:colOff>
                <xdr:row>0</xdr:row>
                <xdr:rowOff>0</xdr:rowOff>
              </from>
              <to>
                <xdr:col>5</xdr:col>
                <xdr:colOff>5305425</xdr:colOff>
                <xdr:row>1</xdr:row>
                <xdr:rowOff>0</xdr:rowOff>
              </to>
            </anchor>
          </controlPr>
        </control>
      </mc:Choice>
      <mc:Fallback>
        <control shapeId="20488" r:id="rId18" name="PLUS_BUTTON"/>
      </mc:Fallback>
    </mc:AlternateContent>
    <mc:AlternateContent xmlns:mc="http://schemas.openxmlformats.org/markup-compatibility/2006">
      <mc:Choice Requires="x14">
        <control shapeId="20489" r:id="rId19" name="WIDE_BAR">
          <controlPr defaultSize="0" autoLine="0" r:id="rId20">
            <anchor moveWithCells="1" sizeWithCells="1">
              <from>
                <xdr:col>5</xdr:col>
                <xdr:colOff>514350</xdr:colOff>
                <xdr:row>0</xdr:row>
                <xdr:rowOff>0</xdr:rowOff>
              </from>
              <to>
                <xdr:col>5</xdr:col>
                <xdr:colOff>5048250</xdr:colOff>
                <xdr:row>1</xdr:row>
                <xdr:rowOff>0</xdr:rowOff>
              </to>
            </anchor>
          </controlPr>
        </control>
      </mc:Choice>
      <mc:Fallback>
        <control shapeId="20489" r:id="rId19" name="WIDE_BAR"/>
      </mc:Fallback>
    </mc:AlternateContent>
    <mc:AlternateContent xmlns:mc="http://schemas.openxmlformats.org/markup-compatibility/2006">
      <mc:Choice Requires="x14">
        <control shapeId="20490" r:id="rId21" name="ARROW_BUTTON">
          <controlPr defaultSize="0" autoLine="0" r:id="rId5">
            <anchor moveWithCells="1">
              <from>
                <xdr:col>5</xdr:col>
                <xdr:colOff>257175</xdr:colOff>
                <xdr:row>0</xdr:row>
                <xdr:rowOff>0</xdr:rowOff>
              </from>
              <to>
                <xdr:col>5</xdr:col>
                <xdr:colOff>514350</xdr:colOff>
                <xdr:row>1</xdr:row>
                <xdr:rowOff>0</xdr:rowOff>
              </to>
            </anchor>
          </controlPr>
        </control>
      </mc:Choice>
      <mc:Fallback>
        <control shapeId="20490" r:id="rId21" name="ARROW_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2A30CDC9-BF99-4CE7-95D8-905855C9685C}">
          <x14:formula1>
            <xm:f>Narratives!#REF!</xm:f>
          </x14:formula1>
          <xm:sqref>B19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00D3E-EA0A-45B9-A011-8249CA2276E7}">
  <sheetPr codeName="Sheet4">
    <tabColor rgb="FF466166"/>
    <pageSetUpPr fitToPage="1"/>
  </sheetPr>
  <dimension ref="A1:P1885"/>
  <sheetViews>
    <sheetView showGridLines="0" showRowColHeaders="0" zoomScale="78" zoomScaleNormal="78" workbookViewId="0">
      <pane ySplit="2" topLeftCell="A3" activePane="bottomLeft" state="frozenSplit"/>
      <selection activeCell="B1" sqref="B1"/>
      <selection pane="bottomLeft" sqref="A1:B1"/>
    </sheetView>
  </sheetViews>
  <sheetFormatPr defaultColWidth="4.42578125" defaultRowHeight="15" x14ac:dyDescent="0.25"/>
  <cols>
    <col min="1" max="1" width="72.5703125" style="37" hidden="1" customWidth="1"/>
    <col min="2" max="2" width="7.28515625" style="2" customWidth="1"/>
    <col min="3" max="3" width="7.28515625" style="256" customWidth="1"/>
    <col min="4" max="4" width="27.42578125" style="256" customWidth="1"/>
    <col min="5" max="5" width="7.28515625" style="256" customWidth="1"/>
    <col min="6" max="6" width="27.42578125" style="256" customWidth="1"/>
    <col min="7" max="7" width="7.28515625" style="256" customWidth="1"/>
    <col min="8" max="8" width="27.42578125" style="256" customWidth="1"/>
    <col min="9" max="9" width="7.28515625" style="256" customWidth="1"/>
    <col min="10" max="10" width="27.42578125" style="256" customWidth="1"/>
    <col min="11" max="11" width="7.28515625" style="256" customWidth="1"/>
    <col min="12" max="12" width="27.42578125" style="256" customWidth="1"/>
    <col min="13" max="13" width="7.28515625" style="1" customWidth="1"/>
    <col min="14" max="14" width="27.42578125" style="217" customWidth="1"/>
    <col min="15" max="15" width="2.28515625" style="1" bestFit="1" customWidth="1"/>
    <col min="16" max="16382" width="4.42578125" style="1"/>
    <col min="16383" max="16384" width="1.42578125" style="1" customWidth="1"/>
  </cols>
  <sheetData>
    <row r="1" spans="1:14" s="6" customFormat="1" ht="28.5" customHeight="1" x14ac:dyDescent="0.25">
      <c r="A1" s="403"/>
      <c r="B1" s="404"/>
      <c r="C1" s="193"/>
      <c r="D1" s="194"/>
      <c r="E1" s="195"/>
      <c r="F1" s="196"/>
      <c r="G1" s="197"/>
      <c r="H1" s="198"/>
      <c r="I1" s="197"/>
      <c r="J1" s="198"/>
      <c r="K1" s="197"/>
      <c r="L1" s="198"/>
      <c r="M1" s="12"/>
      <c r="N1" s="199"/>
    </row>
    <row r="2" spans="1:14" s="6" customFormat="1" ht="31.5" customHeight="1" x14ac:dyDescent="0.3">
      <c r="A2" s="36"/>
      <c r="B2" s="11"/>
      <c r="C2" s="200"/>
      <c r="D2" s="201"/>
      <c r="E2" s="202"/>
      <c r="F2" s="201"/>
      <c r="G2" s="202"/>
      <c r="H2" s="201"/>
      <c r="I2" s="202"/>
      <c r="J2" s="201"/>
      <c r="K2" s="202"/>
      <c r="L2" s="201"/>
      <c r="M2" s="7"/>
      <c r="N2" s="199"/>
    </row>
    <row r="3" spans="1:14" s="6" customFormat="1" ht="15" customHeight="1" x14ac:dyDescent="0.3">
      <c r="A3" s="36"/>
      <c r="B3" s="39"/>
      <c r="C3" s="203">
        <v>41701</v>
      </c>
      <c r="D3" s="204"/>
      <c r="E3" s="203">
        <f>C3+1</f>
        <v>41702</v>
      </c>
      <c r="F3" s="205"/>
      <c r="G3" s="203">
        <f>E3+1</f>
        <v>41703</v>
      </c>
      <c r="H3" s="204"/>
      <c r="I3" s="203">
        <f>G3+1</f>
        <v>41704</v>
      </c>
      <c r="J3" s="204"/>
      <c r="K3" s="203">
        <f>I3+1</f>
        <v>41705</v>
      </c>
      <c r="L3" s="204"/>
      <c r="M3" s="7"/>
      <c r="N3" s="206"/>
    </row>
    <row r="4" spans="1:14" s="6" customFormat="1" ht="15" customHeight="1" x14ac:dyDescent="0.3">
      <c r="A4" s="94"/>
      <c r="B4" s="40"/>
      <c r="C4" s="317"/>
      <c r="D4" s="316"/>
      <c r="E4" s="331"/>
      <c r="F4" s="316"/>
      <c r="G4" s="418"/>
      <c r="H4" s="416"/>
      <c r="I4" s="331"/>
      <c r="J4" s="316"/>
      <c r="K4" s="331"/>
      <c r="L4" s="316"/>
      <c r="M4" s="7"/>
      <c r="N4" s="206"/>
    </row>
    <row r="5" spans="1:14" s="6" customFormat="1" ht="15" customHeight="1" x14ac:dyDescent="0.3">
      <c r="A5" s="94"/>
      <c r="B5" s="40"/>
      <c r="C5" s="417"/>
      <c r="D5" s="316"/>
      <c r="E5" s="331"/>
      <c r="F5" s="316"/>
      <c r="G5" s="331"/>
      <c r="H5" s="316"/>
      <c r="I5" s="331"/>
      <c r="J5" s="316"/>
      <c r="K5" s="331"/>
      <c r="L5" s="316"/>
      <c r="M5" s="7"/>
      <c r="N5" s="206"/>
    </row>
    <row r="6" spans="1:14" s="6" customFormat="1" ht="15" customHeight="1" x14ac:dyDescent="0.25">
      <c r="A6" s="33"/>
      <c r="B6" s="40"/>
      <c r="C6" s="415"/>
      <c r="D6" s="416"/>
      <c r="E6" s="331"/>
      <c r="F6" s="316"/>
      <c r="G6" s="331"/>
      <c r="H6" s="316"/>
      <c r="I6" s="331"/>
      <c r="J6" s="316"/>
      <c r="K6" s="331"/>
      <c r="L6" s="316"/>
      <c r="M6" s="7"/>
      <c r="N6" s="206"/>
    </row>
    <row r="7" spans="1:14" s="6" customFormat="1" ht="15" customHeight="1" x14ac:dyDescent="0.25">
      <c r="A7" s="33"/>
      <c r="B7" s="40"/>
      <c r="C7" s="417"/>
      <c r="D7" s="416"/>
      <c r="E7" s="331"/>
      <c r="F7" s="316"/>
      <c r="G7" s="331"/>
      <c r="H7" s="316"/>
      <c r="I7" s="331"/>
      <c r="J7" s="316"/>
      <c r="K7" s="331"/>
      <c r="L7" s="316"/>
      <c r="M7" s="7"/>
      <c r="N7" s="206"/>
    </row>
    <row r="8" spans="1:14" s="6" customFormat="1" ht="15" customHeight="1" x14ac:dyDescent="0.25">
      <c r="A8" s="33"/>
      <c r="B8" s="40"/>
      <c r="C8" s="317"/>
      <c r="D8" s="316"/>
      <c r="E8" s="331"/>
      <c r="F8" s="316"/>
      <c r="G8" s="331"/>
      <c r="H8" s="316"/>
      <c r="I8" s="331"/>
      <c r="J8" s="316"/>
      <c r="K8" s="331"/>
      <c r="L8" s="316"/>
      <c r="M8" s="7"/>
      <c r="N8" s="206"/>
    </row>
    <row r="9" spans="1:14" s="6" customFormat="1" ht="15" customHeight="1" x14ac:dyDescent="0.25">
      <c r="A9" s="33"/>
      <c r="B9" s="40"/>
      <c r="C9" s="318"/>
      <c r="D9" s="319"/>
      <c r="E9" s="380"/>
      <c r="F9" s="319"/>
      <c r="G9" s="380"/>
      <c r="H9" s="319"/>
      <c r="I9" s="380"/>
      <c r="J9" s="319"/>
      <c r="K9" s="380"/>
      <c r="L9" s="319"/>
      <c r="M9" s="7"/>
      <c r="N9" s="206"/>
    </row>
    <row r="10" spans="1:14" s="6" customFormat="1" ht="15" customHeight="1" x14ac:dyDescent="0.25">
      <c r="A10" s="33"/>
      <c r="B10" s="40"/>
      <c r="C10" s="207">
        <f>K3+3</f>
        <v>41708</v>
      </c>
      <c r="D10" s="208"/>
      <c r="E10" s="207">
        <f>C10+1</f>
        <v>41709</v>
      </c>
      <c r="F10" s="208"/>
      <c r="G10" s="207">
        <f>E10+1</f>
        <v>41710</v>
      </c>
      <c r="H10" s="208"/>
      <c r="I10" s="207">
        <f>G10+1</f>
        <v>41711</v>
      </c>
      <c r="J10" s="208"/>
      <c r="K10" s="207">
        <f>I10+1</f>
        <v>41712</v>
      </c>
      <c r="L10" s="208"/>
      <c r="M10" s="7"/>
      <c r="N10" s="206"/>
    </row>
    <row r="11" spans="1:14" s="6" customFormat="1" ht="15" customHeight="1" x14ac:dyDescent="0.25">
      <c r="A11" s="33"/>
      <c r="B11" s="40"/>
      <c r="C11" s="317"/>
      <c r="D11" s="316"/>
      <c r="E11" s="331"/>
      <c r="F11" s="316"/>
      <c r="G11" s="331"/>
      <c r="H11" s="316"/>
      <c r="I11" s="419"/>
      <c r="J11" s="420"/>
      <c r="K11" s="419"/>
      <c r="L11" s="420"/>
      <c r="M11" s="7"/>
      <c r="N11" s="206"/>
    </row>
    <row r="12" spans="1:14" s="6" customFormat="1" ht="15" customHeight="1" x14ac:dyDescent="0.25">
      <c r="A12" s="33"/>
      <c r="B12" s="40"/>
      <c r="C12" s="317"/>
      <c r="D12" s="316"/>
      <c r="E12" s="331"/>
      <c r="F12" s="316"/>
      <c r="G12" s="421"/>
      <c r="H12" s="420"/>
      <c r="I12" s="331"/>
      <c r="J12" s="316"/>
      <c r="K12" s="331"/>
      <c r="L12" s="316"/>
      <c r="M12" s="7"/>
      <c r="N12" s="206"/>
    </row>
    <row r="13" spans="1:14" s="6" customFormat="1" ht="15" customHeight="1" x14ac:dyDescent="0.25">
      <c r="A13" s="33"/>
      <c r="B13" s="40"/>
      <c r="C13" s="317"/>
      <c r="D13" s="316"/>
      <c r="E13" s="331"/>
      <c r="F13" s="316"/>
      <c r="G13" s="422"/>
      <c r="H13" s="420"/>
      <c r="I13" s="331"/>
      <c r="J13" s="316"/>
      <c r="K13" s="331"/>
      <c r="L13" s="316"/>
      <c r="M13" s="7"/>
      <c r="N13" s="206"/>
    </row>
    <row r="14" spans="1:14" s="6" customFormat="1" ht="15" customHeight="1" x14ac:dyDescent="0.25">
      <c r="A14" s="33"/>
      <c r="B14" s="40"/>
      <c r="C14" s="317"/>
      <c r="D14" s="316"/>
      <c r="E14" s="331"/>
      <c r="F14" s="316"/>
      <c r="G14" s="331"/>
      <c r="H14" s="316"/>
      <c r="I14" s="331"/>
      <c r="J14" s="316"/>
      <c r="K14" s="331"/>
      <c r="L14" s="316"/>
      <c r="M14" s="7"/>
      <c r="N14" s="206"/>
    </row>
    <row r="15" spans="1:14" s="6" customFormat="1" ht="15" customHeight="1" x14ac:dyDescent="0.25">
      <c r="A15" s="33"/>
      <c r="B15" s="40"/>
      <c r="C15" s="317"/>
      <c r="D15" s="316"/>
      <c r="E15" s="331"/>
      <c r="F15" s="316"/>
      <c r="G15" s="331"/>
      <c r="H15" s="316"/>
      <c r="I15" s="331"/>
      <c r="J15" s="316"/>
      <c r="K15" s="331"/>
      <c r="L15" s="316"/>
      <c r="M15" s="7"/>
      <c r="N15" s="206"/>
    </row>
    <row r="16" spans="1:14" s="6" customFormat="1" ht="15" customHeight="1" x14ac:dyDescent="0.25">
      <c r="A16" s="33"/>
      <c r="B16" s="40"/>
      <c r="C16" s="318"/>
      <c r="D16" s="319"/>
      <c r="E16" s="380"/>
      <c r="F16" s="319"/>
      <c r="G16" s="380"/>
      <c r="H16" s="319"/>
      <c r="I16" s="380"/>
      <c r="J16" s="319"/>
      <c r="K16" s="380"/>
      <c r="L16" s="319"/>
      <c r="M16" s="7"/>
      <c r="N16" s="206"/>
    </row>
    <row r="17" spans="1:14" s="6" customFormat="1" ht="15" customHeight="1" x14ac:dyDescent="0.25">
      <c r="A17" s="33"/>
      <c r="B17" s="40"/>
      <c r="C17" s="207">
        <f>K10+3</f>
        <v>41715</v>
      </c>
      <c r="D17" s="208"/>
      <c r="E17" s="207">
        <f>C17+1</f>
        <v>41716</v>
      </c>
      <c r="F17" s="208"/>
      <c r="G17" s="207">
        <f>E17+1</f>
        <v>41717</v>
      </c>
      <c r="H17" s="208"/>
      <c r="I17" s="207">
        <f>G17+1</f>
        <v>41718</v>
      </c>
      <c r="J17" s="208"/>
      <c r="K17" s="207">
        <f>I17+1</f>
        <v>41719</v>
      </c>
      <c r="L17" s="208"/>
      <c r="M17" s="7"/>
      <c r="N17" s="206"/>
    </row>
    <row r="18" spans="1:14" s="6" customFormat="1" ht="15" customHeight="1" x14ac:dyDescent="0.25">
      <c r="A18" s="33"/>
      <c r="B18" s="40"/>
      <c r="C18" s="317"/>
      <c r="D18" s="316"/>
      <c r="E18" s="331"/>
      <c r="F18" s="316"/>
      <c r="G18" s="331"/>
      <c r="H18" s="316"/>
      <c r="I18" s="331"/>
      <c r="J18" s="316"/>
      <c r="K18" s="331"/>
      <c r="L18" s="316"/>
      <c r="M18" s="7"/>
      <c r="N18" s="206"/>
    </row>
    <row r="19" spans="1:14" s="6" customFormat="1" ht="15" customHeight="1" x14ac:dyDescent="0.25">
      <c r="A19" s="33"/>
      <c r="B19" s="40"/>
      <c r="C19" s="317"/>
      <c r="D19" s="316"/>
      <c r="E19" s="331"/>
      <c r="F19" s="316"/>
      <c r="G19" s="331"/>
      <c r="H19" s="316"/>
      <c r="I19" s="331"/>
      <c r="J19" s="316"/>
      <c r="K19" s="331"/>
      <c r="L19" s="316"/>
      <c r="M19" s="7"/>
      <c r="N19" s="206"/>
    </row>
    <row r="20" spans="1:14" s="6" customFormat="1" ht="15" customHeight="1" x14ac:dyDescent="0.25">
      <c r="A20" s="33"/>
      <c r="B20" s="40"/>
      <c r="C20" s="317"/>
      <c r="D20" s="316"/>
      <c r="E20" s="331"/>
      <c r="F20" s="316"/>
      <c r="G20" s="331"/>
      <c r="H20" s="316"/>
      <c r="I20" s="331"/>
      <c r="J20" s="316"/>
      <c r="K20" s="331"/>
      <c r="L20" s="316"/>
      <c r="M20" s="7"/>
      <c r="N20" s="206"/>
    </row>
    <row r="21" spans="1:14" s="6" customFormat="1" ht="15" customHeight="1" x14ac:dyDescent="0.25">
      <c r="A21" s="33"/>
      <c r="B21" s="40"/>
      <c r="C21" s="317"/>
      <c r="D21" s="316"/>
      <c r="E21" s="331"/>
      <c r="F21" s="316"/>
      <c r="G21" s="331"/>
      <c r="H21" s="316"/>
      <c r="I21" s="331"/>
      <c r="J21" s="316"/>
      <c r="K21" s="331"/>
      <c r="L21" s="316"/>
      <c r="M21" s="7"/>
      <c r="N21" s="206"/>
    </row>
    <row r="22" spans="1:14" s="6" customFormat="1" ht="15" customHeight="1" x14ac:dyDescent="0.25">
      <c r="A22" s="33"/>
      <c r="B22" s="40"/>
      <c r="C22" s="317"/>
      <c r="D22" s="316"/>
      <c r="E22" s="331"/>
      <c r="F22" s="316"/>
      <c r="G22" s="331"/>
      <c r="H22" s="316"/>
      <c r="I22" s="331"/>
      <c r="J22" s="316"/>
      <c r="K22" s="331"/>
      <c r="L22" s="316"/>
      <c r="M22" s="7"/>
      <c r="N22" s="206"/>
    </row>
    <row r="23" spans="1:14" s="6" customFormat="1" ht="15" customHeight="1" x14ac:dyDescent="0.25">
      <c r="A23" s="33"/>
      <c r="B23" s="40"/>
      <c r="C23" s="318"/>
      <c r="D23" s="319"/>
      <c r="E23" s="380"/>
      <c r="F23" s="319"/>
      <c r="G23" s="380"/>
      <c r="H23" s="319"/>
      <c r="I23" s="380"/>
      <c r="J23" s="319"/>
      <c r="K23" s="380"/>
      <c r="L23" s="319"/>
      <c r="M23" s="7"/>
      <c r="N23" s="206"/>
    </row>
    <row r="24" spans="1:14" s="6" customFormat="1" ht="15" customHeight="1" x14ac:dyDescent="0.25">
      <c r="A24" s="33"/>
      <c r="B24" s="40"/>
      <c r="C24" s="207">
        <f>K17+3</f>
        <v>41722</v>
      </c>
      <c r="D24" s="208"/>
      <c r="E24" s="207">
        <f>C24+1</f>
        <v>41723</v>
      </c>
      <c r="F24" s="208"/>
      <c r="G24" s="207">
        <f>E24+1</f>
        <v>41724</v>
      </c>
      <c r="H24" s="208"/>
      <c r="I24" s="207">
        <f>G24+1</f>
        <v>41725</v>
      </c>
      <c r="J24" s="209"/>
      <c r="K24" s="207">
        <f>I24+1</f>
        <v>41726</v>
      </c>
      <c r="L24" s="209"/>
      <c r="M24" s="7"/>
      <c r="N24" s="206"/>
    </row>
    <row r="25" spans="1:14" s="6" customFormat="1" ht="15" customHeight="1" x14ac:dyDescent="0.25">
      <c r="A25" s="33"/>
      <c r="B25" s="40"/>
      <c r="C25" s="317"/>
      <c r="D25" s="316"/>
      <c r="E25" s="331"/>
      <c r="F25" s="316"/>
      <c r="G25" s="331"/>
      <c r="H25" s="316"/>
      <c r="I25" s="331"/>
      <c r="J25" s="316"/>
      <c r="K25" s="331"/>
      <c r="L25" s="316"/>
      <c r="M25" s="7"/>
      <c r="N25" s="206"/>
    </row>
    <row r="26" spans="1:14" s="6" customFormat="1" ht="15" customHeight="1" x14ac:dyDescent="0.25">
      <c r="A26" s="33"/>
      <c r="B26" s="40"/>
      <c r="C26" s="317"/>
      <c r="D26" s="316"/>
      <c r="E26" s="331"/>
      <c r="F26" s="316"/>
      <c r="G26" s="331"/>
      <c r="H26" s="316"/>
      <c r="I26" s="331"/>
      <c r="J26" s="316"/>
      <c r="K26" s="331"/>
      <c r="L26" s="316"/>
      <c r="M26" s="7"/>
      <c r="N26" s="206"/>
    </row>
    <row r="27" spans="1:14" s="6" customFormat="1" ht="15" customHeight="1" x14ac:dyDescent="0.25">
      <c r="A27" s="33"/>
      <c r="B27" s="40"/>
      <c r="C27" s="423"/>
      <c r="D27" s="424"/>
      <c r="E27" s="331"/>
      <c r="F27" s="316"/>
      <c r="G27" s="331"/>
      <c r="H27" s="316"/>
      <c r="I27" s="331"/>
      <c r="J27" s="316"/>
      <c r="K27" s="331"/>
      <c r="L27" s="316"/>
      <c r="M27" s="7"/>
      <c r="N27" s="206"/>
    </row>
    <row r="28" spans="1:14" s="6" customFormat="1" ht="15" customHeight="1" x14ac:dyDescent="0.25">
      <c r="A28" s="33"/>
      <c r="B28" s="40"/>
      <c r="C28" s="317"/>
      <c r="D28" s="316"/>
      <c r="E28" s="331"/>
      <c r="F28" s="316"/>
      <c r="G28" s="331"/>
      <c r="H28" s="316"/>
      <c r="I28" s="331"/>
      <c r="J28" s="316"/>
      <c r="K28" s="331"/>
      <c r="L28" s="316"/>
      <c r="M28" s="7"/>
      <c r="N28" s="206"/>
    </row>
    <row r="29" spans="1:14" s="6" customFormat="1" ht="15" customHeight="1" x14ac:dyDescent="0.25">
      <c r="A29" s="33"/>
      <c r="B29" s="40"/>
      <c r="C29" s="317"/>
      <c r="D29" s="316"/>
      <c r="E29" s="331"/>
      <c r="F29" s="316"/>
      <c r="G29" s="317"/>
      <c r="H29" s="316"/>
      <c r="I29" s="317"/>
      <c r="J29" s="316"/>
      <c r="K29" s="317"/>
      <c r="L29" s="316"/>
      <c r="M29" s="7"/>
      <c r="N29" s="206"/>
    </row>
    <row r="30" spans="1:14" s="6" customFormat="1" ht="15" customHeight="1" x14ac:dyDescent="0.25">
      <c r="A30" s="33"/>
      <c r="B30" s="40"/>
      <c r="C30" s="318"/>
      <c r="D30" s="319"/>
      <c r="E30" s="380"/>
      <c r="F30" s="319"/>
      <c r="G30" s="380"/>
      <c r="H30" s="319"/>
      <c r="I30" s="380"/>
      <c r="J30" s="319"/>
      <c r="K30" s="380"/>
      <c r="L30" s="319"/>
      <c r="M30" s="7"/>
      <c r="N30" s="206"/>
    </row>
    <row r="31" spans="1:14" s="6" customFormat="1" ht="15" customHeight="1" x14ac:dyDescent="0.25">
      <c r="A31" s="33"/>
      <c r="B31" s="429" t="s">
        <v>70</v>
      </c>
      <c r="C31" s="210">
        <f>K24+3</f>
        <v>41729</v>
      </c>
      <c r="D31" s="211"/>
      <c r="E31" s="207">
        <f>C31+1</f>
        <v>41730</v>
      </c>
      <c r="F31" s="208"/>
      <c r="G31" s="207">
        <f>E31+1</f>
        <v>41731</v>
      </c>
      <c r="H31" s="208"/>
      <c r="I31" s="207">
        <f>G31+1</f>
        <v>41732</v>
      </c>
      <c r="J31" s="212"/>
      <c r="K31" s="207">
        <f>I31+1</f>
        <v>41733</v>
      </c>
      <c r="L31" s="212"/>
      <c r="M31" s="7"/>
      <c r="N31" s="206"/>
    </row>
    <row r="32" spans="1:14" s="6" customFormat="1" ht="15" customHeight="1" x14ac:dyDescent="0.25">
      <c r="A32" s="33"/>
      <c r="B32" s="429"/>
      <c r="C32" s="331"/>
      <c r="D32" s="316"/>
      <c r="E32" s="331"/>
      <c r="F32" s="316"/>
      <c r="G32" s="331"/>
      <c r="H32" s="316"/>
      <c r="I32" s="428"/>
      <c r="J32" s="316"/>
      <c r="K32" s="428"/>
      <c r="L32" s="316"/>
      <c r="M32" s="7"/>
      <c r="N32" s="206"/>
    </row>
    <row r="33" spans="1:14" s="6" customFormat="1" ht="15" customHeight="1" x14ac:dyDescent="0.25">
      <c r="A33" s="33"/>
      <c r="B33" s="429"/>
      <c r="C33" s="331"/>
      <c r="D33" s="316"/>
      <c r="E33" s="331"/>
      <c r="F33" s="316"/>
      <c r="G33" s="331"/>
      <c r="H33" s="316"/>
      <c r="I33" s="331"/>
      <c r="J33" s="316"/>
      <c r="K33" s="331"/>
      <c r="L33" s="316"/>
      <c r="M33" s="7"/>
      <c r="N33" s="206"/>
    </row>
    <row r="34" spans="1:14" s="6" customFormat="1" ht="15" customHeight="1" x14ac:dyDescent="0.25">
      <c r="A34" s="33"/>
      <c r="B34" s="429"/>
      <c r="C34" s="426"/>
      <c r="D34" s="427"/>
      <c r="E34" s="331"/>
      <c r="F34" s="316"/>
      <c r="G34" s="331"/>
      <c r="H34" s="316"/>
      <c r="I34" s="428"/>
      <c r="J34" s="316"/>
      <c r="K34" s="428"/>
      <c r="L34" s="316"/>
      <c r="M34" s="7"/>
      <c r="N34" s="206"/>
    </row>
    <row r="35" spans="1:14" s="6" customFormat="1" ht="15" customHeight="1" x14ac:dyDescent="0.25">
      <c r="A35" s="33"/>
      <c r="B35" s="429"/>
      <c r="C35" s="425"/>
      <c r="D35" s="424"/>
      <c r="E35" s="331"/>
      <c r="F35" s="316"/>
      <c r="G35" s="331"/>
      <c r="H35" s="316"/>
      <c r="I35" s="331"/>
      <c r="J35" s="316"/>
      <c r="K35" s="331"/>
      <c r="L35" s="316"/>
      <c r="M35" s="7"/>
      <c r="N35" s="206"/>
    </row>
    <row r="36" spans="1:14" s="6" customFormat="1" ht="15" customHeight="1" x14ac:dyDescent="0.25">
      <c r="A36" s="33"/>
      <c r="B36" s="429"/>
      <c r="C36" s="331"/>
      <c r="D36" s="316"/>
      <c r="E36" s="331"/>
      <c r="F36" s="316"/>
      <c r="G36" s="331"/>
      <c r="H36" s="316"/>
      <c r="I36" s="331"/>
      <c r="J36" s="316"/>
      <c r="K36" s="331"/>
      <c r="L36" s="316"/>
      <c r="M36" s="7"/>
      <c r="N36" s="206"/>
    </row>
    <row r="37" spans="1:14" s="6" customFormat="1" ht="15" customHeight="1" x14ac:dyDescent="0.25">
      <c r="A37" s="33"/>
      <c r="B37" s="430"/>
      <c r="C37" s="380"/>
      <c r="D37" s="319"/>
      <c r="E37" s="380"/>
      <c r="F37" s="319"/>
      <c r="G37" s="380"/>
      <c r="H37" s="319"/>
      <c r="I37" s="380"/>
      <c r="J37" s="319"/>
      <c r="K37" s="380"/>
      <c r="L37" s="319"/>
      <c r="M37" s="7"/>
      <c r="N37" s="206"/>
    </row>
    <row r="38" spans="1:14" s="6" customFormat="1" ht="15" customHeight="1" x14ac:dyDescent="0.25">
      <c r="A38" s="33"/>
      <c r="B38" s="435"/>
      <c r="C38" s="207">
        <f>K31+3</f>
        <v>41736</v>
      </c>
      <c r="D38" s="208"/>
      <c r="E38" s="207">
        <f>C38+1</f>
        <v>41737</v>
      </c>
      <c r="F38" s="208" t="s">
        <v>69</v>
      </c>
      <c r="G38" s="207">
        <f>E38+1</f>
        <v>41738</v>
      </c>
      <c r="H38" s="208"/>
      <c r="I38" s="207">
        <f>G38+1</f>
        <v>41739</v>
      </c>
      <c r="J38" s="208"/>
      <c r="K38" s="207">
        <f>I38+1</f>
        <v>41740</v>
      </c>
      <c r="L38" s="208"/>
      <c r="M38" s="7"/>
      <c r="N38" s="206"/>
    </row>
    <row r="39" spans="1:14" s="6" customFormat="1" ht="15" customHeight="1" x14ac:dyDescent="0.25">
      <c r="A39" s="33"/>
      <c r="B39" s="434"/>
      <c r="C39" s="317"/>
      <c r="D39" s="316"/>
      <c r="E39" s="428"/>
      <c r="F39" s="431"/>
      <c r="G39" s="331"/>
      <c r="H39" s="316"/>
      <c r="I39" s="331"/>
      <c r="J39" s="316"/>
      <c r="K39" s="331"/>
      <c r="L39" s="316"/>
      <c r="M39" s="7"/>
      <c r="N39" s="206"/>
    </row>
    <row r="40" spans="1:14" s="6" customFormat="1" ht="15" customHeight="1" x14ac:dyDescent="0.25">
      <c r="A40" s="33"/>
      <c r="B40" s="434"/>
      <c r="C40" s="317"/>
      <c r="D40" s="316"/>
      <c r="E40" s="331"/>
      <c r="F40" s="316"/>
      <c r="G40" s="418"/>
      <c r="H40" s="416"/>
      <c r="I40" s="331"/>
      <c r="J40" s="316"/>
      <c r="K40" s="331"/>
      <c r="L40" s="316"/>
      <c r="M40" s="7"/>
      <c r="N40" s="206"/>
    </row>
    <row r="41" spans="1:14" s="6" customFormat="1" ht="15" customHeight="1" x14ac:dyDescent="0.25">
      <c r="A41" s="33"/>
      <c r="B41" s="434"/>
      <c r="C41" s="317"/>
      <c r="D41" s="316"/>
      <c r="E41" s="331"/>
      <c r="F41" s="316"/>
      <c r="G41" s="331"/>
      <c r="H41" s="316"/>
      <c r="I41" s="331"/>
      <c r="J41" s="316"/>
      <c r="K41" s="331"/>
      <c r="L41" s="316"/>
      <c r="M41" s="7"/>
      <c r="N41" s="206"/>
    </row>
    <row r="42" spans="1:14" s="6" customFormat="1" ht="15" customHeight="1" x14ac:dyDescent="0.25">
      <c r="A42" s="33"/>
      <c r="B42" s="434"/>
      <c r="C42" s="317"/>
      <c r="D42" s="316"/>
      <c r="E42" s="331"/>
      <c r="F42" s="316"/>
      <c r="G42" s="331"/>
      <c r="H42" s="316"/>
      <c r="I42" s="331"/>
      <c r="J42" s="316"/>
      <c r="K42" s="331"/>
      <c r="L42" s="316"/>
      <c r="M42" s="7"/>
      <c r="N42" s="206"/>
    </row>
    <row r="43" spans="1:14" s="6" customFormat="1" ht="15" customHeight="1" x14ac:dyDescent="0.25">
      <c r="A43" s="33"/>
      <c r="B43" s="434"/>
      <c r="C43" s="317"/>
      <c r="D43" s="316"/>
      <c r="E43" s="331"/>
      <c r="F43" s="316"/>
      <c r="G43" s="331"/>
      <c r="H43" s="316"/>
      <c r="I43" s="331"/>
      <c r="J43" s="316"/>
      <c r="K43" s="331"/>
      <c r="L43" s="316"/>
      <c r="M43" s="7"/>
      <c r="N43" s="206"/>
    </row>
    <row r="44" spans="1:14" s="6" customFormat="1" ht="15" customHeight="1" x14ac:dyDescent="0.25">
      <c r="A44" s="33"/>
      <c r="B44" s="434"/>
      <c r="C44" s="318"/>
      <c r="D44" s="319"/>
      <c r="E44" s="380"/>
      <c r="F44" s="319"/>
      <c r="G44" s="380"/>
      <c r="H44" s="319"/>
      <c r="I44" s="380"/>
      <c r="J44" s="319"/>
      <c r="K44" s="380"/>
      <c r="L44" s="319"/>
      <c r="M44" s="7"/>
      <c r="N44" s="206"/>
    </row>
    <row r="45" spans="1:14" s="6" customFormat="1" ht="15" customHeight="1" x14ac:dyDescent="0.25">
      <c r="A45" s="33"/>
      <c r="B45" s="434"/>
      <c r="C45" s="207">
        <f>K38+3</f>
        <v>41743</v>
      </c>
      <c r="D45" s="208"/>
      <c r="E45" s="207">
        <f>C45+1</f>
        <v>41744</v>
      </c>
      <c r="F45" s="208"/>
      <c r="G45" s="207">
        <f>E45+1</f>
        <v>41745</v>
      </c>
      <c r="H45" s="208"/>
      <c r="I45" s="207">
        <f>G45+1</f>
        <v>41746</v>
      </c>
      <c r="J45" s="208"/>
      <c r="K45" s="207">
        <f>I45+1</f>
        <v>41747</v>
      </c>
      <c r="L45" s="208"/>
      <c r="M45" s="7"/>
      <c r="N45" s="206"/>
    </row>
    <row r="46" spans="1:14" s="6" customFormat="1" ht="15" customHeight="1" x14ac:dyDescent="0.25">
      <c r="A46" s="33"/>
      <c r="B46" s="434"/>
      <c r="C46" s="317"/>
      <c r="D46" s="316"/>
      <c r="E46" s="331"/>
      <c r="F46" s="316"/>
      <c r="G46" s="331"/>
      <c r="H46" s="316"/>
      <c r="I46" s="331"/>
      <c r="J46" s="316"/>
      <c r="K46" s="331"/>
      <c r="L46" s="316"/>
      <c r="M46" s="7"/>
      <c r="N46" s="206"/>
    </row>
    <row r="47" spans="1:14" s="6" customFormat="1" ht="15" customHeight="1" x14ac:dyDescent="0.25">
      <c r="A47" s="33"/>
      <c r="B47" s="434"/>
      <c r="C47" s="317"/>
      <c r="D47" s="316"/>
      <c r="E47" s="331"/>
      <c r="F47" s="316"/>
      <c r="G47" s="331"/>
      <c r="H47" s="316"/>
      <c r="I47" s="331"/>
      <c r="J47" s="316"/>
      <c r="K47" s="331"/>
      <c r="L47" s="316"/>
      <c r="M47" s="7"/>
      <c r="N47" s="206"/>
    </row>
    <row r="48" spans="1:14" s="6" customFormat="1" ht="15" customHeight="1" x14ac:dyDescent="0.25">
      <c r="A48" s="33"/>
      <c r="B48" s="434"/>
      <c r="C48" s="432"/>
      <c r="D48" s="433"/>
      <c r="E48" s="331"/>
      <c r="F48" s="316"/>
      <c r="G48" s="331"/>
      <c r="H48" s="316"/>
      <c r="I48" s="331"/>
      <c r="J48" s="316"/>
      <c r="K48" s="331"/>
      <c r="L48" s="316"/>
      <c r="M48" s="7"/>
      <c r="N48" s="206"/>
    </row>
    <row r="49" spans="1:14" s="6" customFormat="1" ht="15" customHeight="1" x14ac:dyDescent="0.25">
      <c r="A49" s="33"/>
      <c r="B49" s="434"/>
      <c r="C49" s="317"/>
      <c r="D49" s="316"/>
      <c r="E49" s="331"/>
      <c r="F49" s="316"/>
      <c r="G49" s="331"/>
      <c r="H49" s="316"/>
      <c r="I49" s="331"/>
      <c r="J49" s="316"/>
      <c r="K49" s="331"/>
      <c r="L49" s="316"/>
      <c r="M49" s="7"/>
      <c r="N49" s="206"/>
    </row>
    <row r="50" spans="1:14" s="6" customFormat="1" ht="15" customHeight="1" x14ac:dyDescent="0.25">
      <c r="A50" s="33"/>
      <c r="B50" s="434"/>
      <c r="C50" s="331"/>
      <c r="D50" s="316"/>
      <c r="E50" s="331"/>
      <c r="F50" s="316"/>
      <c r="G50" s="331"/>
      <c r="H50" s="316"/>
      <c r="I50" s="331"/>
      <c r="J50" s="316"/>
      <c r="K50" s="331"/>
      <c r="L50" s="316"/>
      <c r="M50" s="7"/>
      <c r="N50" s="206"/>
    </row>
    <row r="51" spans="1:14" s="6" customFormat="1" ht="15" customHeight="1" x14ac:dyDescent="0.25">
      <c r="A51" s="33"/>
      <c r="B51" s="434"/>
      <c r="C51" s="380"/>
      <c r="D51" s="319"/>
      <c r="E51" s="380"/>
      <c r="F51" s="319"/>
      <c r="G51" s="380"/>
      <c r="H51" s="319"/>
      <c r="I51" s="380"/>
      <c r="J51" s="319"/>
      <c r="K51" s="380"/>
      <c r="L51" s="319"/>
      <c r="M51" s="7"/>
      <c r="N51" s="206"/>
    </row>
    <row r="52" spans="1:14" s="6" customFormat="1" ht="15" customHeight="1" x14ac:dyDescent="0.25">
      <c r="A52" s="33"/>
      <c r="B52" s="434"/>
      <c r="C52" s="207">
        <f>K45+3</f>
        <v>41750</v>
      </c>
      <c r="D52" s="208"/>
      <c r="E52" s="207">
        <f>C52+1</f>
        <v>41751</v>
      </c>
      <c r="F52" s="208"/>
      <c r="G52" s="207">
        <f>E52+1</f>
        <v>41752</v>
      </c>
      <c r="H52" s="208"/>
      <c r="I52" s="207">
        <f>G52+1</f>
        <v>41753</v>
      </c>
      <c r="J52" s="208"/>
      <c r="K52" s="207">
        <f>I52+1</f>
        <v>41754</v>
      </c>
      <c r="L52" s="208"/>
      <c r="M52" s="7"/>
      <c r="N52" s="206"/>
    </row>
    <row r="53" spans="1:14" s="6" customFormat="1" ht="15" customHeight="1" x14ac:dyDescent="0.25">
      <c r="A53" s="33"/>
      <c r="B53" s="434"/>
      <c r="C53" s="317"/>
      <c r="D53" s="316"/>
      <c r="E53" s="331"/>
      <c r="F53" s="316"/>
      <c r="G53" s="331"/>
      <c r="H53" s="316"/>
      <c r="I53" s="331"/>
      <c r="J53" s="316"/>
      <c r="K53" s="331"/>
      <c r="L53" s="316"/>
      <c r="M53" s="7"/>
      <c r="N53" s="206"/>
    </row>
    <row r="54" spans="1:14" s="6" customFormat="1" ht="15" customHeight="1" x14ac:dyDescent="0.25">
      <c r="A54" s="33"/>
      <c r="B54" s="434"/>
      <c r="C54" s="317"/>
      <c r="D54" s="316"/>
      <c r="E54" s="331"/>
      <c r="F54" s="316"/>
      <c r="G54" s="331"/>
      <c r="H54" s="316"/>
      <c r="I54" s="331"/>
      <c r="J54" s="316"/>
      <c r="K54" s="331"/>
      <c r="L54" s="316"/>
      <c r="M54" s="7"/>
      <c r="N54" s="206"/>
    </row>
    <row r="55" spans="1:14" s="6" customFormat="1" ht="15" customHeight="1" x14ac:dyDescent="0.25">
      <c r="A55" s="33"/>
      <c r="B55" s="434"/>
      <c r="C55" s="317"/>
      <c r="D55" s="316"/>
      <c r="E55" s="331"/>
      <c r="F55" s="316"/>
      <c r="G55" s="331"/>
      <c r="H55" s="316"/>
      <c r="I55" s="331"/>
      <c r="J55" s="316"/>
      <c r="K55" s="331"/>
      <c r="L55" s="316"/>
      <c r="M55" s="7"/>
      <c r="N55" s="206"/>
    </row>
    <row r="56" spans="1:14" s="6" customFormat="1" ht="15" customHeight="1" x14ac:dyDescent="0.25">
      <c r="A56" s="33"/>
      <c r="B56" s="434"/>
      <c r="C56" s="317"/>
      <c r="D56" s="316"/>
      <c r="E56" s="331"/>
      <c r="F56" s="316"/>
      <c r="G56" s="331"/>
      <c r="H56" s="316"/>
      <c r="I56" s="331"/>
      <c r="J56" s="316"/>
      <c r="K56" s="331"/>
      <c r="L56" s="316"/>
      <c r="M56" s="7"/>
      <c r="N56" s="206"/>
    </row>
    <row r="57" spans="1:14" s="6" customFormat="1" ht="15" customHeight="1" x14ac:dyDescent="0.25">
      <c r="A57" s="33"/>
      <c r="B57" s="434"/>
      <c r="C57" s="317"/>
      <c r="D57" s="316"/>
      <c r="E57" s="331"/>
      <c r="F57" s="316"/>
      <c r="G57" s="331"/>
      <c r="H57" s="316"/>
      <c r="I57" s="331"/>
      <c r="J57" s="316"/>
      <c r="K57" s="331"/>
      <c r="L57" s="316"/>
      <c r="M57" s="7"/>
      <c r="N57" s="206"/>
    </row>
    <row r="58" spans="1:14" s="6" customFormat="1" ht="15" customHeight="1" x14ac:dyDescent="0.25">
      <c r="A58" s="33"/>
      <c r="B58" s="434"/>
      <c r="C58" s="318"/>
      <c r="D58" s="319"/>
      <c r="E58" s="380"/>
      <c r="F58" s="319"/>
      <c r="G58" s="380"/>
      <c r="H58" s="319"/>
      <c r="I58" s="380"/>
      <c r="J58" s="319"/>
      <c r="K58" s="380"/>
      <c r="L58" s="319"/>
      <c r="M58" s="7"/>
      <c r="N58" s="206"/>
    </row>
    <row r="59" spans="1:14" s="6" customFormat="1" ht="15" customHeight="1" x14ac:dyDescent="0.25">
      <c r="A59" s="33"/>
      <c r="B59" s="434" t="s">
        <v>68</v>
      </c>
      <c r="C59" s="207">
        <f>K52+3</f>
        <v>41757</v>
      </c>
      <c r="D59" s="208"/>
      <c r="E59" s="207">
        <f>C59+1</f>
        <v>41758</v>
      </c>
      <c r="F59" s="208"/>
      <c r="G59" s="207">
        <f>E59+1</f>
        <v>41759</v>
      </c>
      <c r="H59" s="211"/>
      <c r="I59" s="207">
        <f>G59+1</f>
        <v>41760</v>
      </c>
      <c r="J59" s="212"/>
      <c r="K59" s="207">
        <f>I59+1</f>
        <v>41761</v>
      </c>
      <c r="L59" s="212"/>
      <c r="M59" s="7"/>
      <c r="N59" s="206"/>
    </row>
    <row r="60" spans="1:14" s="6" customFormat="1" ht="15" customHeight="1" x14ac:dyDescent="0.25">
      <c r="A60" s="33"/>
      <c r="B60" s="434"/>
      <c r="C60" s="331"/>
      <c r="D60" s="316"/>
      <c r="E60" s="331"/>
      <c r="F60" s="316"/>
      <c r="G60" s="331"/>
      <c r="H60" s="316"/>
      <c r="I60" s="317"/>
      <c r="J60" s="316"/>
      <c r="K60" s="317"/>
      <c r="L60" s="316"/>
      <c r="M60" s="7"/>
      <c r="N60" s="206"/>
    </row>
    <row r="61" spans="1:14" s="6" customFormat="1" ht="15" customHeight="1" x14ac:dyDescent="0.25">
      <c r="A61" s="33"/>
      <c r="B61" s="434"/>
      <c r="C61" s="331"/>
      <c r="D61" s="316"/>
      <c r="E61" s="331"/>
      <c r="F61" s="316"/>
      <c r="G61" s="331"/>
      <c r="H61" s="316"/>
      <c r="I61" s="317"/>
      <c r="J61" s="316"/>
      <c r="K61" s="317"/>
      <c r="L61" s="316"/>
      <c r="M61" s="7"/>
      <c r="N61" s="206"/>
    </row>
    <row r="62" spans="1:14" s="6" customFormat="1" ht="15" customHeight="1" x14ac:dyDescent="0.25">
      <c r="A62" s="33"/>
      <c r="B62" s="434"/>
      <c r="C62" s="436"/>
      <c r="D62" s="433"/>
      <c r="E62" s="331"/>
      <c r="F62" s="316"/>
      <c r="G62" s="331"/>
      <c r="H62" s="316"/>
      <c r="I62" s="317"/>
      <c r="J62" s="316"/>
      <c r="K62" s="317"/>
      <c r="L62" s="316"/>
      <c r="M62" s="7"/>
      <c r="N62" s="206"/>
    </row>
    <row r="63" spans="1:14" s="6" customFormat="1" ht="15" customHeight="1" x14ac:dyDescent="0.25">
      <c r="A63" s="33"/>
      <c r="B63" s="434"/>
      <c r="C63" s="331"/>
      <c r="D63" s="316"/>
      <c r="E63" s="331"/>
      <c r="F63" s="316"/>
      <c r="G63" s="331"/>
      <c r="H63" s="316"/>
      <c r="I63" s="317"/>
      <c r="J63" s="316"/>
      <c r="K63" s="317"/>
      <c r="L63" s="316"/>
      <c r="M63" s="7"/>
      <c r="N63" s="206"/>
    </row>
    <row r="64" spans="1:14" s="6" customFormat="1" ht="15" customHeight="1" x14ac:dyDescent="0.25">
      <c r="A64" s="33"/>
      <c r="B64" s="434"/>
      <c r="C64" s="331"/>
      <c r="D64" s="316"/>
      <c r="E64" s="331"/>
      <c r="F64" s="316"/>
      <c r="G64" s="331"/>
      <c r="H64" s="316"/>
      <c r="I64" s="317"/>
      <c r="J64" s="316"/>
      <c r="K64" s="317"/>
      <c r="L64" s="316"/>
      <c r="M64" s="7"/>
      <c r="N64" s="206"/>
    </row>
    <row r="65" spans="1:14" s="6" customFormat="1" ht="15" customHeight="1" x14ac:dyDescent="0.25">
      <c r="A65" s="33"/>
      <c r="B65" s="437"/>
      <c r="C65" s="380"/>
      <c r="D65" s="319"/>
      <c r="E65" s="380"/>
      <c r="F65" s="319"/>
      <c r="G65" s="380"/>
      <c r="H65" s="319"/>
      <c r="I65" s="318"/>
      <c r="J65" s="319"/>
      <c r="K65" s="318"/>
      <c r="L65" s="319"/>
      <c r="M65" s="7"/>
      <c r="N65" s="206"/>
    </row>
    <row r="66" spans="1:14" s="6" customFormat="1" ht="15" customHeight="1" x14ac:dyDescent="0.25">
      <c r="A66" s="33"/>
      <c r="B66" s="441"/>
      <c r="C66" s="207">
        <f>K59+3</f>
        <v>41764</v>
      </c>
      <c r="D66" s="208"/>
      <c r="E66" s="207">
        <f>C66+1</f>
        <v>41765</v>
      </c>
      <c r="F66" s="212"/>
      <c r="G66" s="207">
        <f>E66+1</f>
        <v>41766</v>
      </c>
      <c r="H66" s="208"/>
      <c r="I66" s="207">
        <f>G66+1</f>
        <v>41767</v>
      </c>
      <c r="J66" s="208"/>
      <c r="K66" s="207">
        <f>I66+1</f>
        <v>41768</v>
      </c>
      <c r="L66" s="208"/>
      <c r="M66" s="7"/>
      <c r="N66" s="206"/>
    </row>
    <row r="67" spans="1:14" s="6" customFormat="1" ht="15" customHeight="1" x14ac:dyDescent="0.25">
      <c r="A67" s="33"/>
      <c r="B67" s="429"/>
      <c r="C67" s="317"/>
      <c r="D67" s="316"/>
      <c r="E67" s="331"/>
      <c r="F67" s="316"/>
      <c r="G67" s="331"/>
      <c r="H67" s="316"/>
      <c r="I67" s="331"/>
      <c r="J67" s="316"/>
      <c r="K67" s="331"/>
      <c r="L67" s="316"/>
      <c r="M67" s="7"/>
      <c r="N67" s="206"/>
    </row>
    <row r="68" spans="1:14" s="6" customFormat="1" ht="15" customHeight="1" x14ac:dyDescent="0.25">
      <c r="A68" s="33"/>
      <c r="B68" s="429"/>
      <c r="C68" s="317"/>
      <c r="D68" s="316"/>
      <c r="E68" s="331"/>
      <c r="F68" s="316"/>
      <c r="G68" s="331"/>
      <c r="H68" s="316"/>
      <c r="I68" s="331"/>
      <c r="J68" s="316"/>
      <c r="K68" s="331"/>
      <c r="L68" s="316"/>
      <c r="M68" s="7"/>
      <c r="N68" s="206"/>
    </row>
    <row r="69" spans="1:14" s="6" customFormat="1" ht="15" customHeight="1" x14ac:dyDescent="0.25">
      <c r="A69" s="33"/>
      <c r="B69" s="429"/>
      <c r="C69" s="317"/>
      <c r="D69" s="316"/>
      <c r="E69" s="331"/>
      <c r="F69" s="316"/>
      <c r="G69" s="331"/>
      <c r="H69" s="316"/>
      <c r="I69" s="331"/>
      <c r="J69" s="316"/>
      <c r="K69" s="331"/>
      <c r="L69" s="316"/>
      <c r="M69" s="7"/>
      <c r="N69" s="206"/>
    </row>
    <row r="70" spans="1:14" s="6" customFormat="1" ht="15" customHeight="1" x14ac:dyDescent="0.25">
      <c r="A70" s="33"/>
      <c r="B70" s="429"/>
      <c r="C70" s="317"/>
      <c r="D70" s="316"/>
      <c r="E70" s="331"/>
      <c r="F70" s="316"/>
      <c r="G70" s="331"/>
      <c r="H70" s="316"/>
      <c r="I70" s="331"/>
      <c r="J70" s="316"/>
      <c r="K70" s="331"/>
      <c r="L70" s="316"/>
      <c r="M70" s="7"/>
      <c r="N70" s="206"/>
    </row>
    <row r="71" spans="1:14" s="6" customFormat="1" ht="15" customHeight="1" x14ac:dyDescent="0.25">
      <c r="A71" s="33"/>
      <c r="B71" s="429"/>
      <c r="C71" s="317"/>
      <c r="D71" s="316"/>
      <c r="E71" s="331"/>
      <c r="F71" s="316"/>
      <c r="G71" s="331"/>
      <c r="H71" s="316"/>
      <c r="I71" s="331"/>
      <c r="J71" s="316"/>
      <c r="K71" s="331"/>
      <c r="L71" s="316"/>
      <c r="M71" s="7"/>
      <c r="N71" s="206"/>
    </row>
    <row r="72" spans="1:14" s="6" customFormat="1" ht="15" customHeight="1" x14ac:dyDescent="0.25">
      <c r="A72" s="33"/>
      <c r="B72" s="429"/>
      <c r="C72" s="318"/>
      <c r="D72" s="319"/>
      <c r="E72" s="380"/>
      <c r="F72" s="319"/>
      <c r="G72" s="380"/>
      <c r="H72" s="319"/>
      <c r="I72" s="380"/>
      <c r="J72" s="319"/>
      <c r="K72" s="380"/>
      <c r="L72" s="319"/>
      <c r="M72" s="7"/>
      <c r="N72" s="206"/>
    </row>
    <row r="73" spans="1:14" s="6" customFormat="1" ht="15" customHeight="1" x14ac:dyDescent="0.25">
      <c r="A73" s="33"/>
      <c r="B73" s="429"/>
      <c r="C73" s="207">
        <f>K66+3</f>
        <v>41771</v>
      </c>
      <c r="D73" s="208"/>
      <c r="E73" s="207">
        <v>41772</v>
      </c>
      <c r="F73" s="208"/>
      <c r="G73" s="207">
        <f>E73+1</f>
        <v>41773</v>
      </c>
      <c r="H73" s="208"/>
      <c r="I73" s="207">
        <f>G73+1</f>
        <v>41774</v>
      </c>
      <c r="J73" s="208"/>
      <c r="K73" s="207">
        <f>I73+1</f>
        <v>41775</v>
      </c>
      <c r="L73" s="208"/>
      <c r="M73" s="7"/>
      <c r="N73" s="206"/>
    </row>
    <row r="74" spans="1:14" s="6" customFormat="1" ht="15" customHeight="1" x14ac:dyDescent="0.25">
      <c r="A74" s="33"/>
      <c r="B74" s="429"/>
      <c r="C74" s="440"/>
      <c r="D74" s="316"/>
      <c r="E74" s="331"/>
      <c r="F74" s="316"/>
      <c r="G74" s="331"/>
      <c r="H74" s="316"/>
      <c r="I74" s="331"/>
      <c r="J74" s="316"/>
      <c r="K74" s="331"/>
      <c r="L74" s="316"/>
      <c r="M74" s="7"/>
      <c r="N74" s="206"/>
    </row>
    <row r="75" spans="1:14" s="6" customFormat="1" ht="15" customHeight="1" x14ac:dyDescent="0.25">
      <c r="A75" s="33"/>
      <c r="B75" s="429"/>
      <c r="C75" s="317"/>
      <c r="D75" s="316"/>
      <c r="E75" s="331"/>
      <c r="F75" s="316"/>
      <c r="G75" s="331"/>
      <c r="H75" s="316"/>
      <c r="I75" s="331"/>
      <c r="J75" s="316"/>
      <c r="K75" s="331"/>
      <c r="L75" s="316"/>
      <c r="M75" s="7"/>
      <c r="N75" s="206"/>
    </row>
    <row r="76" spans="1:14" s="6" customFormat="1" ht="15" customHeight="1" x14ac:dyDescent="0.25">
      <c r="A76" s="33"/>
      <c r="B76" s="429"/>
      <c r="C76" s="438"/>
      <c r="D76" s="439"/>
      <c r="E76" s="331"/>
      <c r="F76" s="316"/>
      <c r="G76" s="331"/>
      <c r="H76" s="316"/>
      <c r="I76" s="331"/>
      <c r="J76" s="316"/>
      <c r="K76" s="331"/>
      <c r="L76" s="316"/>
      <c r="M76" s="7"/>
      <c r="N76" s="206"/>
    </row>
    <row r="77" spans="1:14" s="6" customFormat="1" ht="15" customHeight="1" x14ac:dyDescent="0.25">
      <c r="A77" s="33"/>
      <c r="B77" s="429"/>
      <c r="C77" s="317"/>
      <c r="D77" s="316"/>
      <c r="E77" s="331"/>
      <c r="F77" s="316"/>
      <c r="G77" s="331"/>
      <c r="H77" s="316"/>
      <c r="I77" s="331"/>
      <c r="J77" s="316"/>
      <c r="K77" s="331"/>
      <c r="L77" s="316"/>
      <c r="M77" s="7"/>
      <c r="N77" s="206"/>
    </row>
    <row r="78" spans="1:14" s="6" customFormat="1" ht="15" customHeight="1" x14ac:dyDescent="0.25">
      <c r="A78" s="33"/>
      <c r="B78" s="429"/>
      <c r="C78" s="317"/>
      <c r="D78" s="316"/>
      <c r="E78" s="331"/>
      <c r="F78" s="316"/>
      <c r="G78" s="331"/>
      <c r="H78" s="316"/>
      <c r="I78" s="331"/>
      <c r="J78" s="316"/>
      <c r="K78" s="331"/>
      <c r="L78" s="316"/>
      <c r="M78" s="7"/>
      <c r="N78" s="206"/>
    </row>
    <row r="79" spans="1:14" s="6" customFormat="1" ht="15" customHeight="1" x14ac:dyDescent="0.25">
      <c r="A79" s="33"/>
      <c r="B79" s="429"/>
      <c r="C79" s="318"/>
      <c r="D79" s="319"/>
      <c r="E79" s="380"/>
      <c r="F79" s="319"/>
      <c r="G79" s="380"/>
      <c r="H79" s="319"/>
      <c r="I79" s="380"/>
      <c r="J79" s="319"/>
      <c r="K79" s="380"/>
      <c r="L79" s="319"/>
      <c r="M79" s="7"/>
      <c r="N79" s="206"/>
    </row>
    <row r="80" spans="1:14" s="6" customFormat="1" ht="15" customHeight="1" x14ac:dyDescent="0.25">
      <c r="A80" s="33"/>
      <c r="B80" s="429"/>
      <c r="C80" s="207">
        <f>K73+3</f>
        <v>41778</v>
      </c>
      <c r="D80" s="208"/>
      <c r="E80" s="207">
        <f>C80+1</f>
        <v>41779</v>
      </c>
      <c r="F80" s="208"/>
      <c r="G80" s="207">
        <f>E80+1</f>
        <v>41780</v>
      </c>
      <c r="H80" s="208"/>
      <c r="I80" s="207">
        <f>G80+1</f>
        <v>41781</v>
      </c>
      <c r="J80" s="208"/>
      <c r="K80" s="207">
        <f>I80+1</f>
        <v>41782</v>
      </c>
      <c r="L80" s="208"/>
      <c r="M80" s="7"/>
      <c r="N80" s="206"/>
    </row>
    <row r="81" spans="1:14" s="6" customFormat="1" ht="15" customHeight="1" x14ac:dyDescent="0.25">
      <c r="A81" s="33"/>
      <c r="B81" s="429"/>
      <c r="C81" s="317"/>
      <c r="D81" s="316"/>
      <c r="E81" s="331"/>
      <c r="F81" s="316"/>
      <c r="G81" s="331"/>
      <c r="H81" s="316"/>
      <c r="I81" s="331"/>
      <c r="J81" s="316"/>
      <c r="K81" s="331"/>
      <c r="L81" s="316"/>
      <c r="M81" s="7"/>
      <c r="N81" s="206"/>
    </row>
    <row r="82" spans="1:14" s="6" customFormat="1" ht="15" customHeight="1" x14ac:dyDescent="0.25">
      <c r="A82" s="33"/>
      <c r="B82" s="429"/>
      <c r="C82" s="317"/>
      <c r="D82" s="316"/>
      <c r="E82" s="331"/>
      <c r="F82" s="316"/>
      <c r="G82" s="331"/>
      <c r="H82" s="316"/>
      <c r="I82" s="331"/>
      <c r="J82" s="316"/>
      <c r="K82" s="331"/>
      <c r="L82" s="316"/>
      <c r="M82" s="7"/>
      <c r="N82" s="206"/>
    </row>
    <row r="83" spans="1:14" s="6" customFormat="1" ht="15" customHeight="1" x14ac:dyDescent="0.25">
      <c r="A83" s="33"/>
      <c r="B83" s="429"/>
      <c r="C83" s="317"/>
      <c r="D83" s="316"/>
      <c r="E83" s="331"/>
      <c r="F83" s="316"/>
      <c r="G83" s="331"/>
      <c r="H83" s="316"/>
      <c r="I83" s="331"/>
      <c r="J83" s="316"/>
      <c r="K83" s="331"/>
      <c r="L83" s="316"/>
      <c r="M83" s="7"/>
      <c r="N83" s="206"/>
    </row>
    <row r="84" spans="1:14" s="6" customFormat="1" ht="15" customHeight="1" x14ac:dyDescent="0.25">
      <c r="A84" s="33"/>
      <c r="B84" s="429"/>
      <c r="C84" s="317"/>
      <c r="D84" s="316"/>
      <c r="E84" s="331"/>
      <c r="F84" s="316"/>
      <c r="G84" s="331"/>
      <c r="H84" s="316"/>
      <c r="I84" s="331"/>
      <c r="J84" s="316"/>
      <c r="K84" s="331"/>
      <c r="L84" s="316"/>
      <c r="M84" s="7"/>
      <c r="N84" s="206"/>
    </row>
    <row r="85" spans="1:14" s="6" customFormat="1" ht="15" customHeight="1" x14ac:dyDescent="0.25">
      <c r="A85" s="33"/>
      <c r="B85" s="429"/>
      <c r="C85" s="317"/>
      <c r="D85" s="316"/>
      <c r="E85" s="331"/>
      <c r="F85" s="316"/>
      <c r="G85" s="331"/>
      <c r="H85" s="316"/>
      <c r="I85" s="331"/>
      <c r="J85" s="316"/>
      <c r="K85" s="331"/>
      <c r="L85" s="316"/>
      <c r="M85" s="7"/>
      <c r="N85" s="206"/>
    </row>
    <row r="86" spans="1:14" s="6" customFormat="1" ht="15" customHeight="1" x14ac:dyDescent="0.25">
      <c r="A86" s="33"/>
      <c r="B86" s="429"/>
      <c r="C86" s="318"/>
      <c r="D86" s="319"/>
      <c r="E86" s="380"/>
      <c r="F86" s="319"/>
      <c r="G86" s="380"/>
      <c r="H86" s="319"/>
      <c r="I86" s="380"/>
      <c r="J86" s="319"/>
      <c r="K86" s="380"/>
      <c r="L86" s="319"/>
      <c r="M86" s="7"/>
      <c r="N86" s="206"/>
    </row>
    <row r="87" spans="1:14" s="6" customFormat="1" ht="15" customHeight="1" x14ac:dyDescent="0.25">
      <c r="A87" s="33"/>
      <c r="B87" s="429" t="s">
        <v>67</v>
      </c>
      <c r="C87" s="207">
        <f>K80+3</f>
        <v>41785</v>
      </c>
      <c r="D87" s="208" t="s">
        <v>47</v>
      </c>
      <c r="E87" s="207">
        <f>C87+1</f>
        <v>41786</v>
      </c>
      <c r="F87" s="208"/>
      <c r="G87" s="207">
        <f>E87+1</f>
        <v>41787</v>
      </c>
      <c r="H87" s="208"/>
      <c r="I87" s="207">
        <f>G87+1</f>
        <v>41788</v>
      </c>
      <c r="J87" s="209"/>
      <c r="K87" s="207">
        <f>I87+1</f>
        <v>41789</v>
      </c>
      <c r="L87" s="209"/>
      <c r="M87" s="7"/>
      <c r="N87" s="206"/>
    </row>
    <row r="88" spans="1:14" s="6" customFormat="1" ht="15" customHeight="1" x14ac:dyDescent="0.25">
      <c r="A88" s="33"/>
      <c r="B88" s="429"/>
      <c r="C88" s="317"/>
      <c r="D88" s="316"/>
      <c r="E88" s="331"/>
      <c r="F88" s="316"/>
      <c r="G88" s="331"/>
      <c r="H88" s="316"/>
      <c r="I88" s="331"/>
      <c r="J88" s="316"/>
      <c r="K88" s="331"/>
      <c r="L88" s="316"/>
      <c r="M88" s="7"/>
      <c r="N88" s="206"/>
    </row>
    <row r="89" spans="1:14" s="6" customFormat="1" ht="15" customHeight="1" x14ac:dyDescent="0.25">
      <c r="A89" s="33"/>
      <c r="B89" s="429"/>
      <c r="C89" s="317"/>
      <c r="D89" s="316"/>
      <c r="E89" s="331"/>
      <c r="F89" s="316"/>
      <c r="G89" s="331"/>
      <c r="H89" s="316"/>
      <c r="I89" s="331"/>
      <c r="J89" s="316"/>
      <c r="K89" s="331"/>
      <c r="L89" s="316"/>
      <c r="M89" s="7"/>
      <c r="N89" s="206"/>
    </row>
    <row r="90" spans="1:14" s="6" customFormat="1" ht="15" customHeight="1" x14ac:dyDescent="0.25">
      <c r="A90" s="33"/>
      <c r="B90" s="429"/>
      <c r="C90" s="432"/>
      <c r="D90" s="433"/>
      <c r="E90" s="331"/>
      <c r="F90" s="316"/>
      <c r="G90" s="331"/>
      <c r="H90" s="316"/>
      <c r="I90" s="331"/>
      <c r="J90" s="316"/>
      <c r="K90" s="331"/>
      <c r="L90" s="316"/>
      <c r="M90" s="7"/>
      <c r="N90" s="206"/>
    </row>
    <row r="91" spans="1:14" s="6" customFormat="1" ht="15" customHeight="1" x14ac:dyDescent="0.25">
      <c r="A91" s="33"/>
      <c r="B91" s="429"/>
      <c r="C91" s="317"/>
      <c r="D91" s="316"/>
      <c r="E91" s="331"/>
      <c r="F91" s="316"/>
      <c r="G91" s="331"/>
      <c r="H91" s="316"/>
      <c r="I91" s="331"/>
      <c r="J91" s="316"/>
      <c r="K91" s="331"/>
      <c r="L91" s="316"/>
      <c r="M91" s="7"/>
      <c r="N91" s="206"/>
    </row>
    <row r="92" spans="1:14" s="6" customFormat="1" ht="15" customHeight="1" x14ac:dyDescent="0.25">
      <c r="A92" s="33"/>
      <c r="B92" s="429"/>
      <c r="C92" s="331"/>
      <c r="D92" s="316"/>
      <c r="E92" s="331"/>
      <c r="F92" s="316"/>
      <c r="G92" s="331"/>
      <c r="H92" s="316"/>
      <c r="I92" s="331"/>
      <c r="J92" s="316"/>
      <c r="K92" s="331"/>
      <c r="L92" s="316"/>
      <c r="M92" s="7"/>
      <c r="N92" s="206"/>
    </row>
    <row r="93" spans="1:14" s="6" customFormat="1" ht="15" customHeight="1" x14ac:dyDescent="0.25">
      <c r="A93" s="33"/>
      <c r="B93" s="429"/>
      <c r="C93" s="442"/>
      <c r="D93" s="443"/>
      <c r="E93" s="444"/>
      <c r="F93" s="319"/>
      <c r="G93" s="442"/>
      <c r="H93" s="443"/>
      <c r="I93" s="442"/>
      <c r="J93" s="443"/>
      <c r="K93" s="442"/>
      <c r="L93" s="443"/>
      <c r="M93" s="7"/>
      <c r="N93" s="206"/>
    </row>
    <row r="94" spans="1:14" s="6" customFormat="1" ht="15" customHeight="1" x14ac:dyDescent="0.25">
      <c r="A94" s="33"/>
      <c r="B94" s="435"/>
      <c r="C94" s="207">
        <f>K87+3</f>
        <v>41792</v>
      </c>
      <c r="D94" s="208"/>
      <c r="E94" s="207">
        <f>C94+1</f>
        <v>41793</v>
      </c>
      <c r="F94" s="208"/>
      <c r="G94" s="207">
        <f>E94+1</f>
        <v>41794</v>
      </c>
      <c r="H94" s="208"/>
      <c r="I94" s="207">
        <f>G94+1</f>
        <v>41795</v>
      </c>
      <c r="J94" s="212"/>
      <c r="K94" s="207">
        <f>I94+1</f>
        <v>41796</v>
      </c>
      <c r="L94" s="212"/>
      <c r="M94" s="7"/>
      <c r="N94" s="206"/>
    </row>
    <row r="95" spans="1:14" s="6" customFormat="1" ht="15" customHeight="1" x14ac:dyDescent="0.25">
      <c r="A95" s="33"/>
      <c r="B95" s="434"/>
      <c r="C95" s="317"/>
      <c r="D95" s="316"/>
      <c r="E95" s="331"/>
      <c r="F95" s="316"/>
      <c r="G95" s="331"/>
      <c r="H95" s="316"/>
      <c r="I95" s="317"/>
      <c r="J95" s="316"/>
      <c r="K95" s="317"/>
      <c r="L95" s="316"/>
      <c r="M95" s="7"/>
      <c r="N95" s="206"/>
    </row>
    <row r="96" spans="1:14" s="6" customFormat="1" ht="15" customHeight="1" x14ac:dyDescent="0.25">
      <c r="A96" s="33"/>
      <c r="B96" s="434"/>
      <c r="C96" s="317"/>
      <c r="D96" s="316"/>
      <c r="E96" s="331"/>
      <c r="F96" s="316"/>
      <c r="G96" s="331"/>
      <c r="H96" s="316"/>
      <c r="I96" s="331"/>
      <c r="J96" s="316"/>
      <c r="K96" s="331"/>
      <c r="L96" s="316"/>
      <c r="M96" s="7"/>
      <c r="N96" s="206"/>
    </row>
    <row r="97" spans="1:14" s="6" customFormat="1" ht="15" customHeight="1" x14ac:dyDescent="0.25">
      <c r="A97" s="33"/>
      <c r="B97" s="434"/>
      <c r="C97" s="317"/>
      <c r="D97" s="316"/>
      <c r="E97" s="331"/>
      <c r="F97" s="316"/>
      <c r="G97" s="331"/>
      <c r="H97" s="316"/>
      <c r="I97" s="331"/>
      <c r="J97" s="316"/>
      <c r="K97" s="331"/>
      <c r="L97" s="316"/>
      <c r="M97" s="7"/>
      <c r="N97" s="206"/>
    </row>
    <row r="98" spans="1:14" s="6" customFormat="1" ht="15" customHeight="1" x14ac:dyDescent="0.25">
      <c r="A98" s="33"/>
      <c r="B98" s="434"/>
      <c r="C98" s="317"/>
      <c r="D98" s="316"/>
      <c r="E98" s="331"/>
      <c r="F98" s="316"/>
      <c r="G98" s="331"/>
      <c r="H98" s="316"/>
      <c r="I98" s="331"/>
      <c r="J98" s="316"/>
      <c r="K98" s="331"/>
      <c r="L98" s="316"/>
      <c r="M98" s="7"/>
      <c r="N98" s="206"/>
    </row>
    <row r="99" spans="1:14" s="6" customFormat="1" ht="15" customHeight="1" x14ac:dyDescent="0.25">
      <c r="A99" s="33"/>
      <c r="B99" s="434"/>
      <c r="C99" s="317"/>
      <c r="D99" s="316"/>
      <c r="E99" s="331"/>
      <c r="F99" s="316"/>
      <c r="G99" s="331"/>
      <c r="H99" s="316"/>
      <c r="I99" s="317"/>
      <c r="J99" s="316"/>
      <c r="K99" s="317"/>
      <c r="L99" s="316"/>
      <c r="M99" s="7"/>
      <c r="N99" s="206"/>
    </row>
    <row r="100" spans="1:14" s="6" customFormat="1" ht="15" customHeight="1" x14ac:dyDescent="0.25">
      <c r="A100" s="33"/>
      <c r="B100" s="434"/>
      <c r="C100" s="318"/>
      <c r="D100" s="319"/>
      <c r="E100" s="380"/>
      <c r="F100" s="319"/>
      <c r="G100" s="380"/>
      <c r="H100" s="319"/>
      <c r="I100" s="318"/>
      <c r="J100" s="319"/>
      <c r="K100" s="318"/>
      <c r="L100" s="319"/>
      <c r="M100" s="7"/>
      <c r="N100" s="206"/>
    </row>
    <row r="101" spans="1:14" s="6" customFormat="1" ht="15" customHeight="1" x14ac:dyDescent="0.25">
      <c r="A101" s="33"/>
      <c r="B101" s="434"/>
      <c r="C101" s="207">
        <f>K94+3</f>
        <v>41799</v>
      </c>
      <c r="D101" s="208"/>
      <c r="E101" s="207">
        <f>C101+1</f>
        <v>41800</v>
      </c>
      <c r="F101" s="212"/>
      <c r="G101" s="207">
        <f>E101+1</f>
        <v>41801</v>
      </c>
      <c r="H101" s="208"/>
      <c r="I101" s="207">
        <f>G101+1</f>
        <v>41802</v>
      </c>
      <c r="J101" s="208"/>
      <c r="K101" s="207">
        <f>I101+1</f>
        <v>41803</v>
      </c>
      <c r="L101" s="208"/>
      <c r="M101" s="7"/>
      <c r="N101" s="206"/>
    </row>
    <row r="102" spans="1:14" s="6" customFormat="1" ht="15" customHeight="1" x14ac:dyDescent="0.25">
      <c r="A102" s="33"/>
      <c r="B102" s="434"/>
      <c r="C102" s="440"/>
      <c r="D102" s="316"/>
      <c r="E102" s="331"/>
      <c r="F102" s="316"/>
      <c r="G102" s="331"/>
      <c r="H102" s="316"/>
      <c r="I102" s="331"/>
      <c r="J102" s="316"/>
      <c r="K102" s="331"/>
      <c r="L102" s="316"/>
      <c r="M102" s="7"/>
      <c r="N102" s="206"/>
    </row>
    <row r="103" spans="1:14" s="6" customFormat="1" ht="15" customHeight="1" x14ac:dyDescent="0.25">
      <c r="A103" s="33"/>
      <c r="B103" s="434"/>
      <c r="C103" s="317"/>
      <c r="D103" s="316"/>
      <c r="E103" s="331"/>
      <c r="F103" s="316"/>
      <c r="G103" s="331"/>
      <c r="H103" s="316"/>
      <c r="I103" s="331"/>
      <c r="J103" s="316"/>
      <c r="K103" s="331"/>
      <c r="L103" s="316"/>
      <c r="M103" s="7"/>
      <c r="N103" s="206"/>
    </row>
    <row r="104" spans="1:14" s="6" customFormat="1" ht="15" customHeight="1" x14ac:dyDescent="0.25">
      <c r="A104" s="33"/>
      <c r="B104" s="434"/>
      <c r="C104" s="432"/>
      <c r="D104" s="433"/>
      <c r="E104" s="331"/>
      <c r="F104" s="316"/>
      <c r="G104" s="331"/>
      <c r="H104" s="316"/>
      <c r="I104" s="331"/>
      <c r="J104" s="316"/>
      <c r="K104" s="331"/>
      <c r="L104" s="316"/>
      <c r="M104" s="7"/>
      <c r="N104" s="206"/>
    </row>
    <row r="105" spans="1:14" s="6" customFormat="1" ht="15" customHeight="1" x14ac:dyDescent="0.25">
      <c r="A105" s="33"/>
      <c r="B105" s="434"/>
      <c r="C105" s="317"/>
      <c r="D105" s="316"/>
      <c r="E105" s="331"/>
      <c r="F105" s="316"/>
      <c r="G105" s="331"/>
      <c r="H105" s="316"/>
      <c r="I105" s="331"/>
      <c r="J105" s="316"/>
      <c r="K105" s="331"/>
      <c r="L105" s="316"/>
      <c r="M105" s="7"/>
      <c r="N105" s="206"/>
    </row>
    <row r="106" spans="1:14" s="6" customFormat="1" ht="15" customHeight="1" x14ac:dyDescent="0.25">
      <c r="A106" s="33"/>
      <c r="B106" s="434"/>
      <c r="C106" s="317"/>
      <c r="D106" s="316"/>
      <c r="E106" s="331"/>
      <c r="F106" s="316"/>
      <c r="G106" s="331"/>
      <c r="H106" s="316"/>
      <c r="I106" s="331"/>
      <c r="J106" s="316"/>
      <c r="K106" s="331"/>
      <c r="L106" s="316"/>
      <c r="M106" s="7"/>
      <c r="N106" s="206"/>
    </row>
    <row r="107" spans="1:14" s="6" customFormat="1" ht="15" customHeight="1" x14ac:dyDescent="0.25">
      <c r="A107" s="33"/>
      <c r="B107" s="434"/>
      <c r="C107" s="318"/>
      <c r="D107" s="319"/>
      <c r="E107" s="380"/>
      <c r="F107" s="319"/>
      <c r="G107" s="380"/>
      <c r="H107" s="319"/>
      <c r="I107" s="380"/>
      <c r="J107" s="319"/>
      <c r="K107" s="380"/>
      <c r="L107" s="319"/>
      <c r="M107" s="7"/>
      <c r="N107" s="206"/>
    </row>
    <row r="108" spans="1:14" s="6" customFormat="1" ht="15" customHeight="1" x14ac:dyDescent="0.25">
      <c r="A108" s="33"/>
      <c r="B108" s="434"/>
      <c r="C108" s="207">
        <f>K101+3</f>
        <v>41806</v>
      </c>
      <c r="D108" s="208"/>
      <c r="E108" s="207">
        <f>C108+1</f>
        <v>41807</v>
      </c>
      <c r="F108" s="208"/>
      <c r="G108" s="207">
        <f>E108+1</f>
        <v>41808</v>
      </c>
      <c r="H108" s="208"/>
      <c r="I108" s="207">
        <f>G108+1</f>
        <v>41809</v>
      </c>
      <c r="J108" s="208"/>
      <c r="K108" s="207">
        <f>I108+1</f>
        <v>41810</v>
      </c>
      <c r="L108" s="208"/>
      <c r="M108" s="7"/>
      <c r="N108" s="206"/>
    </row>
    <row r="109" spans="1:14" s="6" customFormat="1" ht="15" customHeight="1" x14ac:dyDescent="0.25">
      <c r="A109" s="33"/>
      <c r="B109" s="434"/>
      <c r="C109" s="317"/>
      <c r="D109" s="316"/>
      <c r="E109" s="331"/>
      <c r="F109" s="316"/>
      <c r="G109" s="331"/>
      <c r="H109" s="316"/>
      <c r="I109" s="331"/>
      <c r="J109" s="316"/>
      <c r="K109" s="331"/>
      <c r="L109" s="316"/>
      <c r="M109" s="7"/>
      <c r="N109" s="206"/>
    </row>
    <row r="110" spans="1:14" s="6" customFormat="1" ht="15" customHeight="1" x14ac:dyDescent="0.25">
      <c r="A110" s="33"/>
      <c r="B110" s="434"/>
      <c r="C110" s="317"/>
      <c r="D110" s="316"/>
      <c r="E110" s="331"/>
      <c r="F110" s="316"/>
      <c r="G110" s="331"/>
      <c r="H110" s="316"/>
      <c r="I110" s="331"/>
      <c r="J110" s="316"/>
      <c r="K110" s="331"/>
      <c r="L110" s="316"/>
      <c r="M110" s="7"/>
      <c r="N110" s="206"/>
    </row>
    <row r="111" spans="1:14" s="6" customFormat="1" ht="15" customHeight="1" x14ac:dyDescent="0.25">
      <c r="A111" s="33"/>
      <c r="B111" s="434"/>
      <c r="C111" s="317"/>
      <c r="D111" s="316"/>
      <c r="E111" s="331"/>
      <c r="F111" s="316"/>
      <c r="G111" s="331"/>
      <c r="H111" s="316"/>
      <c r="I111" s="331"/>
      <c r="J111" s="316"/>
      <c r="K111" s="331"/>
      <c r="L111" s="316"/>
      <c r="M111" s="7"/>
      <c r="N111" s="206"/>
    </row>
    <row r="112" spans="1:14" s="6" customFormat="1" ht="15" customHeight="1" x14ac:dyDescent="0.25">
      <c r="A112" s="33"/>
      <c r="B112" s="434"/>
      <c r="C112" s="317"/>
      <c r="D112" s="316"/>
      <c r="E112" s="331"/>
      <c r="F112" s="316"/>
      <c r="G112" s="331"/>
      <c r="H112" s="316"/>
      <c r="I112" s="331"/>
      <c r="J112" s="316"/>
      <c r="K112" s="331"/>
      <c r="L112" s="316"/>
      <c r="M112" s="7"/>
      <c r="N112" s="206"/>
    </row>
    <row r="113" spans="1:14" s="6" customFormat="1" ht="15" customHeight="1" x14ac:dyDescent="0.25">
      <c r="A113" s="33"/>
      <c r="B113" s="434"/>
      <c r="C113" s="317"/>
      <c r="D113" s="316"/>
      <c r="E113" s="331"/>
      <c r="F113" s="316"/>
      <c r="G113" s="331"/>
      <c r="H113" s="316"/>
      <c r="I113" s="331"/>
      <c r="J113" s="316"/>
      <c r="K113" s="331"/>
      <c r="L113" s="316"/>
      <c r="M113" s="7"/>
      <c r="N113" s="206"/>
    </row>
    <row r="114" spans="1:14" s="6" customFormat="1" ht="15" customHeight="1" x14ac:dyDescent="0.25">
      <c r="A114" s="33"/>
      <c r="B114" s="434"/>
      <c r="C114" s="445"/>
      <c r="D114" s="446"/>
      <c r="E114" s="447"/>
      <c r="F114" s="446"/>
      <c r="G114" s="447"/>
      <c r="H114" s="446"/>
      <c r="I114" s="447"/>
      <c r="J114" s="446"/>
      <c r="K114" s="447"/>
      <c r="L114" s="446"/>
      <c r="M114" s="7"/>
      <c r="N114" s="206"/>
    </row>
    <row r="115" spans="1:14" s="6" customFormat="1" ht="15" customHeight="1" x14ac:dyDescent="0.25">
      <c r="A115" s="33"/>
      <c r="B115" s="434"/>
      <c r="C115" s="207">
        <f>K108+3</f>
        <v>41813</v>
      </c>
      <c r="D115" s="208"/>
      <c r="E115" s="207">
        <f>C115+1</f>
        <v>41814</v>
      </c>
      <c r="F115" s="208"/>
      <c r="G115" s="207">
        <f>E115+1</f>
        <v>41815</v>
      </c>
      <c r="H115" s="208"/>
      <c r="I115" s="207">
        <f>G115+1</f>
        <v>41816</v>
      </c>
      <c r="J115" s="208"/>
      <c r="K115" s="207">
        <f>I115+1</f>
        <v>41817</v>
      </c>
      <c r="L115" s="208"/>
      <c r="M115" s="7"/>
      <c r="N115" s="206"/>
    </row>
    <row r="116" spans="1:14" s="6" customFormat="1" ht="15" customHeight="1" x14ac:dyDescent="0.25">
      <c r="A116" s="33"/>
      <c r="B116" s="434"/>
      <c r="C116" s="317"/>
      <c r="D116" s="316"/>
      <c r="E116" s="331"/>
      <c r="F116" s="316"/>
      <c r="G116" s="331"/>
      <c r="H116" s="316"/>
      <c r="I116" s="331"/>
      <c r="J116" s="316"/>
      <c r="K116" s="331"/>
      <c r="L116" s="316"/>
      <c r="M116" s="7"/>
      <c r="N116" s="206"/>
    </row>
    <row r="117" spans="1:14" s="6" customFormat="1" ht="15" customHeight="1" x14ac:dyDescent="0.25">
      <c r="A117" s="33"/>
      <c r="B117" s="434"/>
      <c r="C117" s="317"/>
      <c r="D117" s="316"/>
      <c r="E117" s="331"/>
      <c r="F117" s="316"/>
      <c r="G117" s="331"/>
      <c r="H117" s="316"/>
      <c r="I117" s="331"/>
      <c r="J117" s="316"/>
      <c r="K117" s="331"/>
      <c r="L117" s="316"/>
      <c r="M117" s="7"/>
      <c r="N117" s="206"/>
    </row>
    <row r="118" spans="1:14" s="6" customFormat="1" ht="15" customHeight="1" x14ac:dyDescent="0.25">
      <c r="A118" s="33"/>
      <c r="B118" s="434"/>
      <c r="C118" s="448"/>
      <c r="D118" s="433"/>
      <c r="E118" s="331"/>
      <c r="F118" s="316"/>
      <c r="G118" s="331"/>
      <c r="H118" s="316"/>
      <c r="I118" s="331"/>
      <c r="J118" s="316"/>
      <c r="K118" s="331"/>
      <c r="L118" s="316"/>
      <c r="M118" s="7"/>
      <c r="N118" s="206"/>
    </row>
    <row r="119" spans="1:14" s="6" customFormat="1" ht="15" customHeight="1" x14ac:dyDescent="0.25">
      <c r="A119" s="33"/>
      <c r="B119" s="434"/>
      <c r="C119" s="317"/>
      <c r="D119" s="316"/>
      <c r="E119" s="331"/>
      <c r="F119" s="316"/>
      <c r="G119" s="331"/>
      <c r="H119" s="316"/>
      <c r="I119" s="331"/>
      <c r="J119" s="316"/>
      <c r="K119" s="331"/>
      <c r="L119" s="316"/>
      <c r="M119" s="7"/>
      <c r="N119" s="206"/>
    </row>
    <row r="120" spans="1:14" s="6" customFormat="1" ht="15" customHeight="1" x14ac:dyDescent="0.25">
      <c r="A120" s="33"/>
      <c r="B120" s="434"/>
      <c r="C120" s="317"/>
      <c r="D120" s="316"/>
      <c r="E120" s="331"/>
      <c r="F120" s="316"/>
      <c r="G120" s="331"/>
      <c r="H120" s="316"/>
      <c r="I120" s="331"/>
      <c r="J120" s="316"/>
      <c r="K120" s="331"/>
      <c r="L120" s="316"/>
      <c r="M120" s="7"/>
      <c r="N120" s="206"/>
    </row>
    <row r="121" spans="1:14" s="6" customFormat="1" ht="15" customHeight="1" x14ac:dyDescent="0.25">
      <c r="A121" s="33"/>
      <c r="B121" s="434"/>
      <c r="C121" s="318"/>
      <c r="D121" s="319"/>
      <c r="E121" s="380"/>
      <c r="F121" s="319"/>
      <c r="G121" s="380"/>
      <c r="H121" s="319"/>
      <c r="I121" s="380"/>
      <c r="J121" s="319"/>
      <c r="K121" s="380"/>
      <c r="L121" s="319"/>
      <c r="M121" s="7"/>
      <c r="N121" s="206"/>
    </row>
    <row r="122" spans="1:14" s="6" customFormat="1" ht="15" customHeight="1" x14ac:dyDescent="0.25">
      <c r="A122" s="33"/>
      <c r="B122" s="434" t="s">
        <v>66</v>
      </c>
      <c r="C122" s="210">
        <f>K115+3</f>
        <v>41820</v>
      </c>
      <c r="D122" s="211"/>
      <c r="E122" s="207">
        <f>C122+1</f>
        <v>41821</v>
      </c>
      <c r="F122" s="208"/>
      <c r="G122" s="207">
        <f>E122+1</f>
        <v>41822</v>
      </c>
      <c r="H122" s="208"/>
      <c r="I122" s="207">
        <f>G122+1</f>
        <v>41823</v>
      </c>
      <c r="J122" s="212"/>
      <c r="K122" s="207">
        <f>I122+1</f>
        <v>41824</v>
      </c>
      <c r="L122" s="212"/>
      <c r="M122" s="7"/>
      <c r="N122" s="206"/>
    </row>
    <row r="123" spans="1:14" s="6" customFormat="1" ht="15" customHeight="1" x14ac:dyDescent="0.25">
      <c r="A123" s="33"/>
      <c r="B123" s="434"/>
      <c r="C123" s="331"/>
      <c r="D123" s="316"/>
      <c r="E123" s="331"/>
      <c r="F123" s="316"/>
      <c r="G123" s="331"/>
      <c r="H123" s="316"/>
      <c r="I123" s="331"/>
      <c r="J123" s="316"/>
      <c r="K123" s="331"/>
      <c r="L123" s="316"/>
      <c r="M123" s="7"/>
      <c r="N123" s="206"/>
    </row>
    <row r="124" spans="1:14" s="6" customFormat="1" ht="15" customHeight="1" x14ac:dyDescent="0.25">
      <c r="A124" s="33"/>
      <c r="B124" s="434"/>
      <c r="C124" s="331"/>
      <c r="D124" s="316"/>
      <c r="E124" s="331"/>
      <c r="F124" s="316"/>
      <c r="G124" s="331"/>
      <c r="H124" s="316"/>
      <c r="I124" s="331"/>
      <c r="J124" s="316"/>
      <c r="K124" s="331"/>
      <c r="L124" s="316"/>
      <c r="M124" s="7"/>
      <c r="N124" s="206"/>
    </row>
    <row r="125" spans="1:14" s="6" customFormat="1" ht="15" customHeight="1" x14ac:dyDescent="0.25">
      <c r="A125" s="33"/>
      <c r="B125" s="434"/>
      <c r="C125" s="331"/>
      <c r="D125" s="316"/>
      <c r="E125" s="386"/>
      <c r="F125" s="384"/>
      <c r="G125" s="331"/>
      <c r="H125" s="316"/>
      <c r="I125" s="331"/>
      <c r="J125" s="316"/>
      <c r="K125" s="331"/>
      <c r="L125" s="316"/>
      <c r="M125" s="7"/>
      <c r="N125" s="206"/>
    </row>
    <row r="126" spans="1:14" s="6" customFormat="1" ht="15" customHeight="1" x14ac:dyDescent="0.25">
      <c r="A126" s="33"/>
      <c r="B126" s="434"/>
      <c r="C126" s="331"/>
      <c r="D126" s="316"/>
      <c r="E126" s="528"/>
      <c r="F126" s="449"/>
      <c r="G126" s="331"/>
      <c r="H126" s="316"/>
      <c r="I126" s="331"/>
      <c r="J126" s="316"/>
      <c r="K126" s="331"/>
      <c r="L126" s="316"/>
      <c r="M126" s="7"/>
      <c r="N126" s="206"/>
    </row>
    <row r="127" spans="1:14" s="6" customFormat="1" ht="15" customHeight="1" x14ac:dyDescent="0.25">
      <c r="A127" s="33"/>
      <c r="B127" s="434"/>
      <c r="C127" s="331"/>
      <c r="D127" s="316"/>
      <c r="E127" s="331"/>
      <c r="F127" s="316"/>
      <c r="G127" s="331"/>
      <c r="H127" s="316"/>
      <c r="I127" s="331"/>
      <c r="J127" s="316"/>
      <c r="K127" s="331"/>
      <c r="L127" s="316"/>
      <c r="M127" s="7"/>
      <c r="N127" s="206"/>
    </row>
    <row r="128" spans="1:14" s="6" customFormat="1" ht="15" customHeight="1" x14ac:dyDescent="0.25">
      <c r="A128" s="33"/>
      <c r="B128" s="437"/>
      <c r="C128" s="442"/>
      <c r="D128" s="443"/>
      <c r="E128" s="444"/>
      <c r="F128" s="319"/>
      <c r="G128" s="442"/>
      <c r="H128" s="443"/>
      <c r="I128" s="442"/>
      <c r="J128" s="443"/>
      <c r="K128" s="442"/>
      <c r="L128" s="443"/>
      <c r="M128" s="7"/>
      <c r="N128" s="206"/>
    </row>
    <row r="129" spans="1:14" s="6" customFormat="1" ht="15" customHeight="1" x14ac:dyDescent="0.25">
      <c r="A129" s="33"/>
      <c r="B129" s="39"/>
      <c r="C129" s="207">
        <f>K122+3</f>
        <v>41827</v>
      </c>
      <c r="D129" s="208"/>
      <c r="E129" s="207">
        <f>C129+1</f>
        <v>41828</v>
      </c>
      <c r="F129" s="208"/>
      <c r="G129" s="207">
        <f>E129+1</f>
        <v>41829</v>
      </c>
      <c r="H129" s="208"/>
      <c r="I129" s="207">
        <f>G129+1</f>
        <v>41830</v>
      </c>
      <c r="J129" s="212"/>
      <c r="K129" s="207">
        <f>I129+1</f>
        <v>41831</v>
      </c>
      <c r="L129" s="212"/>
      <c r="M129" s="7"/>
      <c r="N129" s="206"/>
    </row>
    <row r="130" spans="1:14" s="6" customFormat="1" ht="15" customHeight="1" x14ac:dyDescent="0.25">
      <c r="A130" s="33"/>
      <c r="B130" s="40"/>
      <c r="C130" s="317"/>
      <c r="D130" s="316"/>
      <c r="E130" s="331"/>
      <c r="F130" s="316"/>
      <c r="G130" s="331"/>
      <c r="H130" s="316"/>
      <c r="I130" s="331"/>
      <c r="J130" s="316"/>
      <c r="K130" s="331"/>
      <c r="L130" s="316"/>
      <c r="M130" s="7"/>
      <c r="N130" s="206"/>
    </row>
    <row r="131" spans="1:14" s="6" customFormat="1" ht="15" customHeight="1" x14ac:dyDescent="0.25">
      <c r="A131" s="33"/>
      <c r="B131" s="40"/>
      <c r="C131" s="317"/>
      <c r="D131" s="316"/>
      <c r="E131" s="331"/>
      <c r="F131" s="316"/>
      <c r="G131" s="331"/>
      <c r="H131" s="316"/>
      <c r="I131" s="331"/>
      <c r="J131" s="316"/>
      <c r="K131" s="331"/>
      <c r="L131" s="316"/>
      <c r="M131" s="7"/>
      <c r="N131" s="206"/>
    </row>
    <row r="132" spans="1:14" s="6" customFormat="1" ht="15" customHeight="1" x14ac:dyDescent="0.25">
      <c r="A132" s="33"/>
      <c r="B132" s="40"/>
      <c r="C132" s="383"/>
      <c r="D132" s="316"/>
      <c r="E132" s="331"/>
      <c r="F132" s="316"/>
      <c r="G132" s="331"/>
      <c r="H132" s="316"/>
      <c r="I132" s="331"/>
      <c r="J132" s="316"/>
      <c r="K132" s="331"/>
      <c r="L132" s="316"/>
      <c r="M132" s="7"/>
      <c r="N132" s="206"/>
    </row>
    <row r="133" spans="1:14" s="6" customFormat="1" ht="15" customHeight="1" x14ac:dyDescent="0.25">
      <c r="A133" s="33"/>
      <c r="B133" s="40"/>
      <c r="C133" s="317"/>
      <c r="D133" s="316"/>
      <c r="E133" s="331"/>
      <c r="F133" s="316"/>
      <c r="G133" s="331"/>
      <c r="H133" s="316"/>
      <c r="I133" s="331"/>
      <c r="J133" s="316"/>
      <c r="K133" s="331"/>
      <c r="L133" s="316"/>
      <c r="M133" s="7"/>
      <c r="N133" s="206"/>
    </row>
    <row r="134" spans="1:14" s="6" customFormat="1" ht="15" customHeight="1" x14ac:dyDescent="0.25">
      <c r="A134" s="33"/>
      <c r="B134" s="40"/>
      <c r="C134" s="317"/>
      <c r="D134" s="316"/>
      <c r="E134" s="331"/>
      <c r="F134" s="316"/>
      <c r="G134" s="331"/>
      <c r="H134" s="316"/>
      <c r="I134" s="331"/>
      <c r="J134" s="316"/>
      <c r="K134" s="331"/>
      <c r="L134" s="316"/>
      <c r="M134" s="7"/>
      <c r="N134" s="206"/>
    </row>
    <row r="135" spans="1:14" s="6" customFormat="1" ht="15" customHeight="1" x14ac:dyDescent="0.25">
      <c r="A135" s="33"/>
      <c r="B135" s="40"/>
      <c r="C135" s="318"/>
      <c r="D135" s="319"/>
      <c r="E135" s="380"/>
      <c r="F135" s="319"/>
      <c r="G135" s="380"/>
      <c r="H135" s="319"/>
      <c r="I135" s="318"/>
      <c r="J135" s="319"/>
      <c r="K135" s="318"/>
      <c r="L135" s="319"/>
      <c r="M135" s="7"/>
      <c r="N135" s="206"/>
    </row>
    <row r="136" spans="1:14" s="6" customFormat="1" ht="15" customHeight="1" x14ac:dyDescent="0.25">
      <c r="A136" s="33"/>
      <c r="B136" s="40"/>
      <c r="C136" s="207">
        <f>K129+3</f>
        <v>41834</v>
      </c>
      <c r="D136" s="208"/>
      <c r="E136" s="207">
        <f>C136+1</f>
        <v>41835</v>
      </c>
      <c r="F136" s="212"/>
      <c r="G136" s="207">
        <f>E136+1</f>
        <v>41836</v>
      </c>
      <c r="H136" s="208"/>
      <c r="I136" s="207">
        <f>G136+1</f>
        <v>41837</v>
      </c>
      <c r="J136" s="208"/>
      <c r="K136" s="207">
        <f>I136+1</f>
        <v>41838</v>
      </c>
      <c r="L136" s="208"/>
      <c r="M136" s="7"/>
      <c r="N136" s="206"/>
    </row>
    <row r="137" spans="1:14" s="6" customFormat="1" ht="15" customHeight="1" x14ac:dyDescent="0.25">
      <c r="A137" s="33"/>
      <c r="B137" s="40"/>
      <c r="C137" s="317"/>
      <c r="D137" s="316"/>
      <c r="E137" s="331"/>
      <c r="F137" s="316"/>
      <c r="G137" s="331"/>
      <c r="H137" s="316"/>
      <c r="I137" s="331"/>
      <c r="J137" s="316"/>
      <c r="K137" s="331"/>
      <c r="L137" s="316"/>
      <c r="M137" s="7"/>
      <c r="N137" s="206"/>
    </row>
    <row r="138" spans="1:14" s="6" customFormat="1" ht="15" customHeight="1" x14ac:dyDescent="0.25">
      <c r="A138" s="33"/>
      <c r="B138" s="40"/>
      <c r="C138" s="317"/>
      <c r="D138" s="316"/>
      <c r="E138" s="451"/>
      <c r="F138" s="433"/>
      <c r="G138" s="331"/>
      <c r="H138" s="316"/>
      <c r="I138" s="331"/>
      <c r="J138" s="316"/>
      <c r="K138" s="331"/>
      <c r="L138" s="316"/>
      <c r="M138" s="7"/>
      <c r="N138" s="206"/>
    </row>
    <row r="139" spans="1:14" s="6" customFormat="1" ht="15" customHeight="1" x14ac:dyDescent="0.25">
      <c r="A139" s="33"/>
      <c r="B139" s="40"/>
      <c r="C139" s="317"/>
      <c r="D139" s="316"/>
      <c r="E139" s="436"/>
      <c r="F139" s="450"/>
      <c r="G139" s="331"/>
      <c r="H139" s="316"/>
      <c r="I139" s="331"/>
      <c r="J139" s="316"/>
      <c r="K139" s="331"/>
      <c r="L139" s="316"/>
      <c r="M139" s="7"/>
      <c r="N139" s="206"/>
    </row>
    <row r="140" spans="1:14" s="6" customFormat="1" ht="15" customHeight="1" x14ac:dyDescent="0.25">
      <c r="A140" s="33"/>
      <c r="B140" s="40"/>
      <c r="C140" s="317"/>
      <c r="D140" s="316"/>
      <c r="E140" s="331"/>
      <c r="F140" s="316"/>
      <c r="G140" s="331"/>
      <c r="H140" s="316"/>
      <c r="I140" s="331"/>
      <c r="J140" s="316"/>
      <c r="K140" s="331"/>
      <c r="L140" s="316"/>
      <c r="M140" s="7"/>
      <c r="N140" s="206"/>
    </row>
    <row r="141" spans="1:14" s="6" customFormat="1" ht="15" customHeight="1" x14ac:dyDescent="0.25">
      <c r="A141" s="33"/>
      <c r="B141" s="40"/>
      <c r="C141" s="317"/>
      <c r="D141" s="316"/>
      <c r="E141" s="331"/>
      <c r="F141" s="316"/>
      <c r="G141" s="331"/>
      <c r="H141" s="316"/>
      <c r="I141" s="331"/>
      <c r="J141" s="316"/>
      <c r="K141" s="331"/>
      <c r="L141" s="316"/>
      <c r="M141" s="7"/>
      <c r="N141" s="206"/>
    </row>
    <row r="142" spans="1:14" s="6" customFormat="1" ht="15" customHeight="1" x14ac:dyDescent="0.25">
      <c r="A142" s="33"/>
      <c r="B142" s="40"/>
      <c r="C142" s="318"/>
      <c r="D142" s="319"/>
      <c r="E142" s="380"/>
      <c r="F142" s="319"/>
      <c r="G142" s="380"/>
      <c r="H142" s="319"/>
      <c r="I142" s="380"/>
      <c r="J142" s="319"/>
      <c r="K142" s="380"/>
      <c r="L142" s="319"/>
      <c r="M142" s="7"/>
      <c r="N142" s="206"/>
    </row>
    <row r="143" spans="1:14" s="6" customFormat="1" ht="15" customHeight="1" x14ac:dyDescent="0.25">
      <c r="A143" s="33"/>
      <c r="B143" s="40"/>
      <c r="C143" s="207">
        <f>K136+3</f>
        <v>41841</v>
      </c>
      <c r="D143" s="208"/>
      <c r="E143" s="207">
        <f>C143+1</f>
        <v>41842</v>
      </c>
      <c r="F143" s="208"/>
      <c r="G143" s="207">
        <f>E143+1</f>
        <v>41843</v>
      </c>
      <c r="H143" s="208"/>
      <c r="I143" s="207">
        <f>G143+1</f>
        <v>41844</v>
      </c>
      <c r="J143" s="208"/>
      <c r="K143" s="207">
        <f>I143+1</f>
        <v>41845</v>
      </c>
      <c r="L143" s="208"/>
      <c r="M143" s="7"/>
      <c r="N143" s="206"/>
    </row>
    <row r="144" spans="1:14" s="6" customFormat="1" ht="15" customHeight="1" x14ac:dyDescent="0.25">
      <c r="A144" s="33"/>
      <c r="B144" s="40"/>
      <c r="C144" s="317"/>
      <c r="D144" s="316"/>
      <c r="E144" s="331"/>
      <c r="F144" s="316"/>
      <c r="G144" s="331"/>
      <c r="H144" s="316"/>
      <c r="I144" s="331"/>
      <c r="J144" s="316"/>
      <c r="K144" s="331"/>
      <c r="L144" s="316"/>
      <c r="M144" s="7"/>
      <c r="N144" s="206"/>
    </row>
    <row r="145" spans="1:14" s="6" customFormat="1" ht="15" customHeight="1" x14ac:dyDescent="0.25">
      <c r="A145" s="33"/>
      <c r="B145" s="40"/>
      <c r="C145" s="317"/>
      <c r="D145" s="316"/>
      <c r="E145" s="331"/>
      <c r="F145" s="316"/>
      <c r="G145" s="331"/>
      <c r="H145" s="316"/>
      <c r="I145" s="331"/>
      <c r="J145" s="316"/>
      <c r="K145" s="331"/>
      <c r="L145" s="316"/>
      <c r="M145" s="7"/>
      <c r="N145" s="206"/>
    </row>
    <row r="146" spans="1:14" s="6" customFormat="1" ht="15" customHeight="1" x14ac:dyDescent="0.25">
      <c r="A146" s="33"/>
      <c r="B146" s="40"/>
      <c r="C146" s="432"/>
      <c r="D146" s="433"/>
      <c r="E146" s="331"/>
      <c r="F146" s="316"/>
      <c r="G146" s="331"/>
      <c r="H146" s="316"/>
      <c r="I146" s="331"/>
      <c r="J146" s="316"/>
      <c r="K146" s="331"/>
      <c r="L146" s="316"/>
      <c r="M146" s="7"/>
      <c r="N146" s="206"/>
    </row>
    <row r="147" spans="1:14" s="6" customFormat="1" ht="15" customHeight="1" x14ac:dyDescent="0.25">
      <c r="A147" s="33"/>
      <c r="B147" s="40"/>
      <c r="C147" s="317"/>
      <c r="D147" s="316"/>
      <c r="E147" s="331"/>
      <c r="F147" s="316"/>
      <c r="G147" s="331"/>
      <c r="H147" s="316"/>
      <c r="I147" s="331"/>
      <c r="J147" s="316"/>
      <c r="K147" s="331"/>
      <c r="L147" s="316"/>
      <c r="M147" s="7"/>
      <c r="N147" s="206"/>
    </row>
    <row r="148" spans="1:14" s="6" customFormat="1" ht="15" customHeight="1" x14ac:dyDescent="0.25">
      <c r="A148" s="33"/>
      <c r="B148" s="40"/>
      <c r="C148" s="317"/>
      <c r="D148" s="316"/>
      <c r="E148" s="331"/>
      <c r="F148" s="316"/>
      <c r="G148" s="331"/>
      <c r="H148" s="316"/>
      <c r="I148" s="331"/>
      <c r="J148" s="316"/>
      <c r="K148" s="331"/>
      <c r="L148" s="316"/>
      <c r="M148" s="7"/>
      <c r="N148" s="206"/>
    </row>
    <row r="149" spans="1:14" s="6" customFormat="1" ht="15" customHeight="1" x14ac:dyDescent="0.25">
      <c r="A149" s="33"/>
      <c r="B149" s="40"/>
      <c r="C149" s="318"/>
      <c r="D149" s="319"/>
      <c r="E149" s="380"/>
      <c r="F149" s="319"/>
      <c r="G149" s="380"/>
      <c r="H149" s="319"/>
      <c r="I149" s="380"/>
      <c r="J149" s="319"/>
      <c r="K149" s="380"/>
      <c r="L149" s="319"/>
      <c r="M149" s="7"/>
      <c r="N149" s="206"/>
    </row>
    <row r="150" spans="1:14" s="6" customFormat="1" ht="15" customHeight="1" x14ac:dyDescent="0.25">
      <c r="A150" s="33"/>
      <c r="B150" s="429" t="s">
        <v>65</v>
      </c>
      <c r="C150" s="207">
        <f>K143+3</f>
        <v>41848</v>
      </c>
      <c r="D150" s="208"/>
      <c r="E150" s="207">
        <f>C150+1</f>
        <v>41849</v>
      </c>
      <c r="F150" s="208"/>
      <c r="G150" s="207">
        <f>E150+1</f>
        <v>41850</v>
      </c>
      <c r="H150" s="208"/>
      <c r="I150" s="213">
        <f>G150+1</f>
        <v>41851</v>
      </c>
      <c r="J150" s="211"/>
      <c r="K150" s="213">
        <f>I150+1</f>
        <v>41852</v>
      </c>
      <c r="L150" s="211"/>
      <c r="M150" s="7"/>
      <c r="N150" s="206"/>
    </row>
    <row r="151" spans="1:14" s="6" customFormat="1" ht="15" customHeight="1" x14ac:dyDescent="0.25">
      <c r="A151" s="33"/>
      <c r="B151" s="429"/>
      <c r="C151" s="317"/>
      <c r="D151" s="316"/>
      <c r="E151" s="331"/>
      <c r="F151" s="316"/>
      <c r="G151" s="331"/>
      <c r="H151" s="316"/>
      <c r="I151" s="331"/>
      <c r="J151" s="316"/>
      <c r="K151" s="331"/>
      <c r="L151" s="316"/>
      <c r="M151" s="7"/>
      <c r="N151" s="206"/>
    </row>
    <row r="152" spans="1:14" s="6" customFormat="1" ht="15" customHeight="1" x14ac:dyDescent="0.25">
      <c r="A152" s="33"/>
      <c r="B152" s="429"/>
      <c r="C152" s="317"/>
      <c r="D152" s="316"/>
      <c r="E152" s="331"/>
      <c r="F152" s="316"/>
      <c r="G152" s="331"/>
      <c r="H152" s="316"/>
      <c r="I152" s="331"/>
      <c r="J152" s="316"/>
      <c r="K152" s="331"/>
      <c r="L152" s="316"/>
      <c r="M152" s="7"/>
      <c r="N152" s="206"/>
    </row>
    <row r="153" spans="1:14" s="6" customFormat="1" ht="15" customHeight="1" x14ac:dyDescent="0.25">
      <c r="A153" s="33"/>
      <c r="B153" s="429"/>
      <c r="C153" s="317"/>
      <c r="D153" s="316"/>
      <c r="E153" s="331"/>
      <c r="F153" s="316"/>
      <c r="G153" s="331"/>
      <c r="H153" s="316"/>
      <c r="I153" s="331"/>
      <c r="J153" s="316"/>
      <c r="K153" s="331"/>
      <c r="L153" s="316"/>
      <c r="M153" s="7"/>
      <c r="N153" s="206"/>
    </row>
    <row r="154" spans="1:14" s="6" customFormat="1" ht="15" customHeight="1" x14ac:dyDescent="0.25">
      <c r="A154" s="33"/>
      <c r="B154" s="429"/>
      <c r="C154" s="317"/>
      <c r="D154" s="316"/>
      <c r="E154" s="331"/>
      <c r="F154" s="316"/>
      <c r="G154" s="331"/>
      <c r="H154" s="316"/>
      <c r="I154" s="331"/>
      <c r="J154" s="316"/>
      <c r="K154" s="331"/>
      <c r="L154" s="316"/>
      <c r="M154" s="7"/>
      <c r="N154" s="206"/>
    </row>
    <row r="155" spans="1:14" s="6" customFormat="1" ht="15" customHeight="1" x14ac:dyDescent="0.25">
      <c r="A155" s="33"/>
      <c r="B155" s="429"/>
      <c r="C155" s="317"/>
      <c r="D155" s="316"/>
      <c r="E155" s="331"/>
      <c r="F155" s="316"/>
      <c r="G155" s="331"/>
      <c r="H155" s="316"/>
      <c r="I155" s="331"/>
      <c r="J155" s="316"/>
      <c r="K155" s="331"/>
      <c r="L155" s="316"/>
      <c r="M155" s="7"/>
      <c r="N155" s="206"/>
    </row>
    <row r="156" spans="1:14" s="6" customFormat="1" ht="15" customHeight="1" x14ac:dyDescent="0.25">
      <c r="A156" s="33"/>
      <c r="B156" s="429"/>
      <c r="C156" s="380"/>
      <c r="D156" s="319"/>
      <c r="E156" s="380"/>
      <c r="F156" s="319"/>
      <c r="G156" s="380"/>
      <c r="H156" s="319"/>
      <c r="I156" s="380"/>
      <c r="J156" s="319"/>
      <c r="K156" s="380"/>
      <c r="L156" s="319"/>
      <c r="M156" s="7"/>
      <c r="N156" s="206"/>
    </row>
    <row r="157" spans="1:14" s="6" customFormat="1" ht="15" customHeight="1" x14ac:dyDescent="0.25">
      <c r="A157" s="33"/>
      <c r="B157" s="41"/>
      <c r="C157" s="207">
        <f>K150+3</f>
        <v>41855</v>
      </c>
      <c r="D157" s="208"/>
      <c r="E157" s="207">
        <f>C157+1</f>
        <v>41856</v>
      </c>
      <c r="F157" s="208"/>
      <c r="G157" s="207">
        <f>E157+1</f>
        <v>41857</v>
      </c>
      <c r="H157" s="208"/>
      <c r="I157" s="207">
        <f>G157+1</f>
        <v>41858</v>
      </c>
      <c r="J157" s="212"/>
      <c r="K157" s="207">
        <f>I157+1</f>
        <v>41859</v>
      </c>
      <c r="L157" s="212"/>
      <c r="M157" s="7"/>
      <c r="N157" s="206"/>
    </row>
    <row r="158" spans="1:14" s="6" customFormat="1" ht="15" customHeight="1" x14ac:dyDescent="0.25">
      <c r="A158" s="33"/>
      <c r="B158" s="42"/>
      <c r="C158" s="317"/>
      <c r="D158" s="452"/>
      <c r="E158" s="331"/>
      <c r="F158" s="316"/>
      <c r="G158" s="331"/>
      <c r="H158" s="316"/>
      <c r="I158" s="331"/>
      <c r="J158" s="316"/>
      <c r="K158" s="331"/>
      <c r="L158" s="316"/>
      <c r="M158" s="7"/>
      <c r="N158" s="206"/>
    </row>
    <row r="159" spans="1:14" s="6" customFormat="1" ht="15" customHeight="1" x14ac:dyDescent="0.25">
      <c r="A159" s="33"/>
      <c r="B159" s="42"/>
      <c r="C159" s="317"/>
      <c r="D159" s="452"/>
      <c r="E159" s="331"/>
      <c r="F159" s="316"/>
      <c r="G159" s="331"/>
      <c r="H159" s="452"/>
      <c r="I159" s="331"/>
      <c r="J159" s="316"/>
      <c r="K159" s="331"/>
      <c r="L159" s="316"/>
      <c r="M159" s="7"/>
      <c r="N159" s="206"/>
    </row>
    <row r="160" spans="1:14" s="6" customFormat="1" ht="15" customHeight="1" x14ac:dyDescent="0.25">
      <c r="A160" s="33"/>
      <c r="B160" s="42"/>
      <c r="C160" s="383"/>
      <c r="D160" s="316"/>
      <c r="E160" s="331"/>
      <c r="F160" s="316"/>
      <c r="G160" s="331"/>
      <c r="H160" s="316"/>
      <c r="I160" s="331"/>
      <c r="J160" s="316"/>
      <c r="K160" s="331"/>
      <c r="L160" s="316"/>
      <c r="M160" s="7"/>
      <c r="N160" s="206"/>
    </row>
    <row r="161" spans="1:14" s="6" customFormat="1" ht="15" customHeight="1" x14ac:dyDescent="0.25">
      <c r="A161" s="33"/>
      <c r="B161" s="42"/>
      <c r="C161" s="317"/>
      <c r="D161" s="452"/>
      <c r="E161" s="331"/>
      <c r="F161" s="316"/>
      <c r="G161" s="331"/>
      <c r="H161" s="452"/>
      <c r="I161" s="331"/>
      <c r="J161" s="316"/>
      <c r="K161" s="331"/>
      <c r="L161" s="316"/>
      <c r="M161" s="7"/>
      <c r="N161" s="206"/>
    </row>
    <row r="162" spans="1:14" s="6" customFormat="1" ht="15" customHeight="1" x14ac:dyDescent="0.25">
      <c r="A162" s="33"/>
      <c r="B162" s="42"/>
      <c r="C162" s="317"/>
      <c r="D162" s="452"/>
      <c r="E162" s="331"/>
      <c r="F162" s="316"/>
      <c r="G162" s="331"/>
      <c r="H162" s="316"/>
      <c r="I162" s="331"/>
      <c r="J162" s="316"/>
      <c r="K162" s="331"/>
      <c r="L162" s="316"/>
      <c r="M162" s="7"/>
      <c r="N162" s="206"/>
    </row>
    <row r="163" spans="1:14" s="6" customFormat="1" ht="15" customHeight="1" x14ac:dyDescent="0.25">
      <c r="A163" s="33"/>
      <c r="B163" s="42"/>
      <c r="C163" s="453"/>
      <c r="D163" s="454"/>
      <c r="E163" s="444"/>
      <c r="F163" s="319"/>
      <c r="G163" s="442"/>
      <c r="H163" s="443"/>
      <c r="I163" s="442"/>
      <c r="J163" s="443"/>
      <c r="K163" s="442"/>
      <c r="L163" s="443"/>
      <c r="M163" s="7"/>
      <c r="N163" s="206"/>
    </row>
    <row r="164" spans="1:14" s="6" customFormat="1" ht="15" customHeight="1" x14ac:dyDescent="0.25">
      <c r="A164" s="33"/>
      <c r="B164" s="42"/>
      <c r="C164" s="207">
        <f>K157+3</f>
        <v>41862</v>
      </c>
      <c r="D164" s="208"/>
      <c r="E164" s="207">
        <f>C164+1</f>
        <v>41863</v>
      </c>
      <c r="F164" s="208"/>
      <c r="G164" s="207">
        <f>E164+1</f>
        <v>41864</v>
      </c>
      <c r="H164" s="208"/>
      <c r="I164" s="207">
        <f>G164+1</f>
        <v>41865</v>
      </c>
      <c r="J164" s="212"/>
      <c r="K164" s="207">
        <f>I164+1</f>
        <v>41866</v>
      </c>
      <c r="L164" s="212"/>
      <c r="M164" s="7"/>
      <c r="N164" s="206"/>
    </row>
    <row r="165" spans="1:14" s="6" customFormat="1" ht="15" customHeight="1" x14ac:dyDescent="0.25">
      <c r="A165" s="33"/>
      <c r="B165" s="42"/>
      <c r="C165" s="317"/>
      <c r="D165" s="316"/>
      <c r="E165" s="331"/>
      <c r="F165" s="316"/>
      <c r="G165" s="317"/>
      <c r="H165" s="316"/>
      <c r="I165" s="417"/>
      <c r="J165" s="316"/>
      <c r="K165" s="417"/>
      <c r="L165" s="316"/>
      <c r="M165" s="7"/>
      <c r="N165" s="206"/>
    </row>
    <row r="166" spans="1:14" s="6" customFormat="1" ht="15" customHeight="1" x14ac:dyDescent="0.25">
      <c r="A166" s="33"/>
      <c r="B166" s="42"/>
      <c r="C166" s="317"/>
      <c r="D166" s="316"/>
      <c r="E166" s="331"/>
      <c r="F166" s="316"/>
      <c r="G166" s="317"/>
      <c r="H166" s="316"/>
      <c r="I166" s="417"/>
      <c r="J166" s="316"/>
      <c r="K166" s="417"/>
      <c r="L166" s="316"/>
      <c r="M166" s="7"/>
      <c r="N166" s="206"/>
    </row>
    <row r="167" spans="1:14" s="6" customFormat="1" ht="15" customHeight="1" x14ac:dyDescent="0.25">
      <c r="A167" s="33"/>
      <c r="B167" s="42"/>
      <c r="C167" s="317"/>
      <c r="D167" s="316"/>
      <c r="E167" s="331"/>
      <c r="F167" s="316"/>
      <c r="G167" s="317"/>
      <c r="H167" s="316"/>
      <c r="I167" s="417"/>
      <c r="J167" s="316"/>
      <c r="K167" s="417"/>
      <c r="L167" s="316"/>
      <c r="M167" s="7"/>
      <c r="N167" s="206"/>
    </row>
    <row r="168" spans="1:14" s="6" customFormat="1" ht="15" customHeight="1" x14ac:dyDescent="0.25">
      <c r="A168" s="33"/>
      <c r="B168" s="42"/>
      <c r="C168" s="317"/>
      <c r="D168" s="316"/>
      <c r="E168" s="331"/>
      <c r="F168" s="316"/>
      <c r="G168" s="317"/>
      <c r="H168" s="316"/>
      <c r="I168" s="417"/>
      <c r="J168" s="316"/>
      <c r="K168" s="417"/>
      <c r="L168" s="316"/>
      <c r="M168" s="7"/>
      <c r="N168" s="206"/>
    </row>
    <row r="169" spans="1:14" s="6" customFormat="1" ht="15" customHeight="1" x14ac:dyDescent="0.25">
      <c r="A169" s="33"/>
      <c r="B169" s="42"/>
      <c r="C169" s="317"/>
      <c r="D169" s="316"/>
      <c r="E169" s="331"/>
      <c r="F169" s="316"/>
      <c r="G169" s="317"/>
      <c r="H169" s="316"/>
      <c r="I169" s="417"/>
      <c r="J169" s="316"/>
      <c r="K169" s="417"/>
      <c r="L169" s="316"/>
      <c r="M169" s="7"/>
      <c r="N169" s="206"/>
    </row>
    <row r="170" spans="1:14" s="6" customFormat="1" ht="15" customHeight="1" x14ac:dyDescent="0.25">
      <c r="A170" s="33"/>
      <c r="B170" s="42"/>
      <c r="C170" s="318"/>
      <c r="D170" s="319"/>
      <c r="E170" s="380"/>
      <c r="F170" s="319"/>
      <c r="G170" s="380"/>
      <c r="H170" s="319"/>
      <c r="I170" s="318"/>
      <c r="J170" s="319"/>
      <c r="K170" s="318"/>
      <c r="L170" s="319"/>
      <c r="M170" s="7"/>
      <c r="N170" s="206"/>
    </row>
    <row r="171" spans="1:14" s="6" customFormat="1" ht="15" customHeight="1" x14ac:dyDescent="0.25">
      <c r="A171" s="33"/>
      <c r="B171" s="42"/>
      <c r="C171" s="207">
        <f>K164+3</f>
        <v>41869</v>
      </c>
      <c r="D171" s="208"/>
      <c r="E171" s="207">
        <f>C171+1</f>
        <v>41870</v>
      </c>
      <c r="F171" s="212"/>
      <c r="G171" s="207">
        <f>E171+1</f>
        <v>41871</v>
      </c>
      <c r="H171" s="208"/>
      <c r="I171" s="207">
        <f>G171+1</f>
        <v>41872</v>
      </c>
      <c r="J171" s="208"/>
      <c r="K171" s="207">
        <f>I171+1</f>
        <v>41873</v>
      </c>
      <c r="L171" s="208"/>
      <c r="M171" s="7"/>
      <c r="N171" s="206"/>
    </row>
    <row r="172" spans="1:14" s="6" customFormat="1" ht="15" customHeight="1" x14ac:dyDescent="0.25">
      <c r="A172" s="33"/>
      <c r="B172" s="42"/>
      <c r="C172" s="440"/>
      <c r="D172" s="316"/>
      <c r="E172" s="331"/>
      <c r="F172" s="316"/>
      <c r="G172" s="331"/>
      <c r="H172" s="316"/>
      <c r="I172" s="331"/>
      <c r="J172" s="316"/>
      <c r="K172" s="331"/>
      <c r="L172" s="316"/>
      <c r="M172" s="7"/>
      <c r="N172" s="206"/>
    </row>
    <row r="173" spans="1:14" s="6" customFormat="1" ht="15" customHeight="1" x14ac:dyDescent="0.25">
      <c r="A173" s="33"/>
      <c r="B173" s="42"/>
      <c r="C173" s="317"/>
      <c r="D173" s="316"/>
      <c r="E173" s="331"/>
      <c r="F173" s="316"/>
      <c r="G173" s="386"/>
      <c r="H173" s="316"/>
      <c r="I173" s="331"/>
      <c r="J173" s="316"/>
      <c r="K173" s="331"/>
      <c r="L173" s="316"/>
      <c r="M173" s="7"/>
      <c r="N173" s="206"/>
    </row>
    <row r="174" spans="1:14" s="6" customFormat="1" ht="15" customHeight="1" x14ac:dyDescent="0.25">
      <c r="A174" s="33"/>
      <c r="B174" s="42"/>
      <c r="C174" s="383"/>
      <c r="D174" s="316"/>
      <c r="E174" s="331"/>
      <c r="F174" s="316"/>
      <c r="G174" s="331"/>
      <c r="H174" s="316"/>
      <c r="I174" s="331"/>
      <c r="J174" s="316"/>
      <c r="K174" s="331"/>
      <c r="L174" s="316"/>
      <c r="M174" s="7"/>
      <c r="N174" s="206"/>
    </row>
    <row r="175" spans="1:14" s="6" customFormat="1" ht="15" customHeight="1" x14ac:dyDescent="0.25">
      <c r="A175" s="33"/>
      <c r="B175" s="42"/>
      <c r="C175" s="317"/>
      <c r="D175" s="316"/>
      <c r="E175" s="331"/>
      <c r="F175" s="316"/>
      <c r="G175" s="331"/>
      <c r="H175" s="316"/>
      <c r="I175" s="331"/>
      <c r="J175" s="316"/>
      <c r="K175" s="331"/>
      <c r="L175" s="316"/>
      <c r="M175" s="7"/>
      <c r="N175" s="206"/>
    </row>
    <row r="176" spans="1:14" s="6" customFormat="1" ht="15" customHeight="1" x14ac:dyDescent="0.25">
      <c r="A176" s="33"/>
      <c r="B176" s="42"/>
      <c r="C176" s="317"/>
      <c r="D176" s="316"/>
      <c r="E176" s="331"/>
      <c r="F176" s="316"/>
      <c r="G176" s="331"/>
      <c r="H176" s="316"/>
      <c r="I176" s="331"/>
      <c r="J176" s="316"/>
      <c r="K176" s="331"/>
      <c r="L176" s="316"/>
      <c r="M176" s="7"/>
      <c r="N176" s="206"/>
    </row>
    <row r="177" spans="1:14" s="6" customFormat="1" ht="15" customHeight="1" x14ac:dyDescent="0.25">
      <c r="A177" s="33"/>
      <c r="B177" s="42"/>
      <c r="C177" s="318"/>
      <c r="D177" s="319"/>
      <c r="E177" s="380"/>
      <c r="F177" s="319"/>
      <c r="G177" s="380"/>
      <c r="H177" s="319"/>
      <c r="I177" s="380"/>
      <c r="J177" s="319"/>
      <c r="K177" s="380"/>
      <c r="L177" s="319"/>
      <c r="M177" s="7"/>
      <c r="N177" s="206"/>
    </row>
    <row r="178" spans="1:14" s="6" customFormat="1" ht="15" customHeight="1" x14ac:dyDescent="0.25">
      <c r="A178" s="33"/>
      <c r="B178" s="434" t="s">
        <v>64</v>
      </c>
      <c r="C178" s="207">
        <f>K171+3</f>
        <v>41876</v>
      </c>
      <c r="D178" s="208"/>
      <c r="E178" s="207">
        <f>C178+1</f>
        <v>41877</v>
      </c>
      <c r="F178" s="208"/>
      <c r="G178" s="207">
        <f>E178+1</f>
        <v>41878</v>
      </c>
      <c r="H178" s="208"/>
      <c r="I178" s="207">
        <f>G178+1</f>
        <v>41879</v>
      </c>
      <c r="J178" s="208"/>
      <c r="K178" s="207">
        <f>I178+1</f>
        <v>41880</v>
      </c>
      <c r="L178" s="208"/>
      <c r="M178" s="7"/>
      <c r="N178" s="206"/>
    </row>
    <row r="179" spans="1:14" s="6" customFormat="1" ht="15" customHeight="1" x14ac:dyDescent="0.25">
      <c r="A179" s="33"/>
      <c r="B179" s="434"/>
      <c r="C179" s="317"/>
      <c r="D179" s="316"/>
      <c r="E179" s="331"/>
      <c r="F179" s="316"/>
      <c r="G179" s="331"/>
      <c r="H179" s="316"/>
      <c r="I179" s="331"/>
      <c r="J179" s="316"/>
      <c r="K179" s="331"/>
      <c r="L179" s="316"/>
      <c r="M179" s="7"/>
      <c r="N179" s="206"/>
    </row>
    <row r="180" spans="1:14" s="6" customFormat="1" ht="15" customHeight="1" x14ac:dyDescent="0.25">
      <c r="A180" s="33"/>
      <c r="B180" s="434"/>
      <c r="C180" s="317"/>
      <c r="D180" s="316"/>
      <c r="E180" s="331"/>
      <c r="F180" s="316"/>
      <c r="G180" s="331"/>
      <c r="H180" s="316"/>
      <c r="I180" s="331"/>
      <c r="J180" s="316"/>
      <c r="K180" s="331"/>
      <c r="L180" s="316"/>
      <c r="M180" s="7"/>
      <c r="N180" s="206"/>
    </row>
    <row r="181" spans="1:14" s="6" customFormat="1" ht="15" customHeight="1" x14ac:dyDescent="0.25">
      <c r="A181" s="33"/>
      <c r="B181" s="434"/>
      <c r="C181" s="317"/>
      <c r="D181" s="316"/>
      <c r="E181" s="331"/>
      <c r="F181" s="316"/>
      <c r="G181" s="331"/>
      <c r="H181" s="316"/>
      <c r="I181" s="331"/>
      <c r="J181" s="316"/>
      <c r="K181" s="331"/>
      <c r="L181" s="316"/>
      <c r="M181" s="7"/>
      <c r="N181" s="206"/>
    </row>
    <row r="182" spans="1:14" s="6" customFormat="1" ht="15" customHeight="1" x14ac:dyDescent="0.25">
      <c r="A182" s="33"/>
      <c r="B182" s="434"/>
      <c r="C182" s="317"/>
      <c r="D182" s="316"/>
      <c r="E182" s="331"/>
      <c r="F182" s="316"/>
      <c r="G182" s="331"/>
      <c r="H182" s="316"/>
      <c r="I182" s="331"/>
      <c r="J182" s="316"/>
      <c r="K182" s="331"/>
      <c r="L182" s="316"/>
      <c r="M182" s="7"/>
      <c r="N182" s="206"/>
    </row>
    <row r="183" spans="1:14" s="6" customFormat="1" ht="15" customHeight="1" x14ac:dyDescent="0.25">
      <c r="A183" s="33"/>
      <c r="B183" s="434"/>
      <c r="C183" s="317"/>
      <c r="D183" s="316"/>
      <c r="E183" s="331"/>
      <c r="F183" s="316"/>
      <c r="G183" s="331"/>
      <c r="H183" s="316"/>
      <c r="I183" s="331"/>
      <c r="J183" s="316"/>
      <c r="K183" s="331"/>
      <c r="L183" s="316"/>
      <c r="M183" s="7"/>
      <c r="N183" s="206"/>
    </row>
    <row r="184" spans="1:14" s="6" customFormat="1" ht="15" customHeight="1" x14ac:dyDescent="0.25">
      <c r="A184" s="33"/>
      <c r="B184" s="437"/>
      <c r="C184" s="380"/>
      <c r="D184" s="319"/>
      <c r="E184" s="380"/>
      <c r="F184" s="319"/>
      <c r="G184" s="380"/>
      <c r="H184" s="319"/>
      <c r="I184" s="380"/>
      <c r="J184" s="319"/>
      <c r="K184" s="380"/>
      <c r="L184" s="319"/>
      <c r="M184" s="7"/>
      <c r="N184" s="206"/>
    </row>
    <row r="185" spans="1:14" s="6" customFormat="1" ht="15" customHeight="1" x14ac:dyDescent="0.25">
      <c r="A185" s="33"/>
      <c r="B185" s="39"/>
      <c r="C185" s="207">
        <f>K178+3</f>
        <v>41883</v>
      </c>
      <c r="D185" s="208" t="s">
        <v>63</v>
      </c>
      <c r="E185" s="207">
        <f>C185+1</f>
        <v>41884</v>
      </c>
      <c r="F185" s="208"/>
      <c r="G185" s="207">
        <f>E185+1</f>
        <v>41885</v>
      </c>
      <c r="H185" s="208"/>
      <c r="I185" s="207">
        <f>G185+1</f>
        <v>41886</v>
      </c>
      <c r="J185" s="208"/>
      <c r="K185" s="207">
        <f>I185+1</f>
        <v>41887</v>
      </c>
      <c r="L185" s="208"/>
      <c r="M185" s="7"/>
      <c r="N185" s="206"/>
    </row>
    <row r="186" spans="1:14" s="6" customFormat="1" ht="15" customHeight="1" x14ac:dyDescent="0.25">
      <c r="A186" s="33"/>
      <c r="B186" s="40"/>
      <c r="C186" s="317"/>
      <c r="D186" s="316"/>
      <c r="E186" s="331"/>
      <c r="F186" s="316"/>
      <c r="G186" s="331"/>
      <c r="H186" s="316"/>
      <c r="I186" s="331"/>
      <c r="J186" s="316"/>
      <c r="K186" s="331"/>
      <c r="L186" s="316"/>
      <c r="M186" s="7"/>
      <c r="N186" s="206"/>
    </row>
    <row r="187" spans="1:14" s="6" customFormat="1" ht="15" customHeight="1" x14ac:dyDescent="0.25">
      <c r="A187" s="33"/>
      <c r="B187" s="40"/>
      <c r="C187" s="317"/>
      <c r="D187" s="316"/>
      <c r="E187" s="331"/>
      <c r="F187" s="316"/>
      <c r="G187" s="331"/>
      <c r="H187" s="316"/>
      <c r="I187" s="331"/>
      <c r="J187" s="316"/>
      <c r="K187" s="331"/>
      <c r="L187" s="316"/>
      <c r="M187" s="7"/>
      <c r="N187" s="206"/>
    </row>
    <row r="188" spans="1:14" s="6" customFormat="1" ht="15" customHeight="1" x14ac:dyDescent="0.25">
      <c r="A188" s="33"/>
      <c r="B188" s="40"/>
      <c r="C188" s="432"/>
      <c r="D188" s="433"/>
      <c r="E188" s="331"/>
      <c r="F188" s="316"/>
      <c r="G188" s="331"/>
      <c r="H188" s="316"/>
      <c r="I188" s="331"/>
      <c r="J188" s="316"/>
      <c r="K188" s="331"/>
      <c r="L188" s="316"/>
      <c r="M188" s="7"/>
      <c r="N188" s="206"/>
    </row>
    <row r="189" spans="1:14" s="6" customFormat="1" ht="15" customHeight="1" x14ac:dyDescent="0.25">
      <c r="A189" s="33"/>
      <c r="B189" s="40"/>
      <c r="C189" s="317"/>
      <c r="D189" s="316"/>
      <c r="E189" s="331"/>
      <c r="F189" s="316"/>
      <c r="G189" s="331"/>
      <c r="H189" s="316"/>
      <c r="I189" s="331"/>
      <c r="J189" s="316"/>
      <c r="K189" s="331"/>
      <c r="L189" s="316"/>
      <c r="M189" s="7"/>
      <c r="N189" s="206"/>
    </row>
    <row r="190" spans="1:14" s="6" customFormat="1" ht="15" customHeight="1" x14ac:dyDescent="0.25">
      <c r="A190" s="33"/>
      <c r="B190" s="40"/>
      <c r="C190" s="317"/>
      <c r="D190" s="316"/>
      <c r="E190" s="331"/>
      <c r="F190" s="316"/>
      <c r="G190" s="331"/>
      <c r="H190" s="316"/>
      <c r="I190" s="331"/>
      <c r="J190" s="316"/>
      <c r="K190" s="331"/>
      <c r="L190" s="316"/>
      <c r="M190" s="7"/>
      <c r="N190" s="206"/>
    </row>
    <row r="191" spans="1:14" s="6" customFormat="1" ht="15" customHeight="1" x14ac:dyDescent="0.25">
      <c r="A191" s="33"/>
      <c r="B191" s="40"/>
      <c r="C191" s="318"/>
      <c r="D191" s="319"/>
      <c r="E191" s="380"/>
      <c r="F191" s="319"/>
      <c r="G191" s="380"/>
      <c r="H191" s="319"/>
      <c r="I191" s="380"/>
      <c r="J191" s="319"/>
      <c r="K191" s="380"/>
      <c r="L191" s="319"/>
      <c r="M191" s="7"/>
      <c r="N191" s="206"/>
    </row>
    <row r="192" spans="1:14" s="6" customFormat="1" ht="15" customHeight="1" x14ac:dyDescent="0.25">
      <c r="A192" s="33"/>
      <c r="B192" s="40"/>
      <c r="C192" s="207">
        <f>K185+3</f>
        <v>41890</v>
      </c>
      <c r="D192" s="208"/>
      <c r="E192" s="213">
        <f>C192+1</f>
        <v>41891</v>
      </c>
      <c r="F192" s="211"/>
      <c r="G192" s="207">
        <f>E192+1</f>
        <v>41892</v>
      </c>
      <c r="H192" s="208"/>
      <c r="I192" s="207">
        <f>G192+1</f>
        <v>41893</v>
      </c>
      <c r="J192" s="212"/>
      <c r="K192" s="207">
        <f>I192+1</f>
        <v>41894</v>
      </c>
      <c r="L192" s="212"/>
      <c r="M192" s="7"/>
      <c r="N192" s="206"/>
    </row>
    <row r="193" spans="1:14" s="6" customFormat="1" ht="15" customHeight="1" x14ac:dyDescent="0.25">
      <c r="A193" s="33"/>
      <c r="B193" s="40"/>
      <c r="C193" s="317"/>
      <c r="D193" s="452"/>
      <c r="E193" s="331"/>
      <c r="F193" s="316"/>
      <c r="G193" s="331"/>
      <c r="H193" s="316"/>
      <c r="I193" s="331"/>
      <c r="J193" s="316"/>
      <c r="K193" s="331"/>
      <c r="L193" s="316"/>
      <c r="M193" s="7"/>
      <c r="N193" s="206"/>
    </row>
    <row r="194" spans="1:14" s="6" customFormat="1" ht="15" customHeight="1" x14ac:dyDescent="0.25">
      <c r="A194" s="33"/>
      <c r="B194" s="40"/>
      <c r="C194" s="317"/>
      <c r="D194" s="452"/>
      <c r="E194" s="331"/>
      <c r="F194" s="316"/>
      <c r="G194" s="331"/>
      <c r="H194" s="316"/>
      <c r="I194" s="331"/>
      <c r="J194" s="316"/>
      <c r="K194" s="331"/>
      <c r="L194" s="316"/>
      <c r="M194" s="7"/>
      <c r="N194" s="206"/>
    </row>
    <row r="195" spans="1:14" s="6" customFormat="1" ht="15" customHeight="1" x14ac:dyDescent="0.25">
      <c r="A195" s="33"/>
      <c r="B195" s="40"/>
      <c r="C195" s="317"/>
      <c r="D195" s="452"/>
      <c r="E195" s="331"/>
      <c r="F195" s="316"/>
      <c r="G195" s="331"/>
      <c r="H195" s="316"/>
      <c r="I195" s="331"/>
      <c r="J195" s="316"/>
      <c r="K195" s="331"/>
      <c r="L195" s="316"/>
      <c r="M195" s="7"/>
      <c r="N195" s="206"/>
    </row>
    <row r="196" spans="1:14" s="6" customFormat="1" ht="15" customHeight="1" x14ac:dyDescent="0.25">
      <c r="A196" s="33"/>
      <c r="B196" s="40"/>
      <c r="C196" s="317"/>
      <c r="D196" s="452"/>
      <c r="E196" s="331"/>
      <c r="F196" s="316"/>
      <c r="G196" s="331"/>
      <c r="H196" s="316"/>
      <c r="I196" s="331"/>
      <c r="J196" s="316"/>
      <c r="K196" s="331"/>
      <c r="L196" s="316"/>
      <c r="M196" s="7"/>
      <c r="N196" s="206"/>
    </row>
    <row r="197" spans="1:14" s="6" customFormat="1" ht="15" customHeight="1" x14ac:dyDescent="0.25">
      <c r="A197" s="33"/>
      <c r="B197" s="40"/>
      <c r="C197" s="317"/>
      <c r="D197" s="452"/>
      <c r="E197" s="331"/>
      <c r="F197" s="316"/>
      <c r="G197" s="331"/>
      <c r="H197" s="316"/>
      <c r="I197" s="331"/>
      <c r="J197" s="316"/>
      <c r="K197" s="331"/>
      <c r="L197" s="316"/>
      <c r="M197" s="7"/>
      <c r="N197" s="206"/>
    </row>
    <row r="198" spans="1:14" s="6" customFormat="1" ht="15" customHeight="1" x14ac:dyDescent="0.25">
      <c r="A198" s="33"/>
      <c r="B198" s="40"/>
      <c r="C198" s="453"/>
      <c r="D198" s="443"/>
      <c r="E198" s="444"/>
      <c r="F198" s="319"/>
      <c r="G198" s="442"/>
      <c r="H198" s="443"/>
      <c r="I198" s="442"/>
      <c r="J198" s="443"/>
      <c r="K198" s="442"/>
      <c r="L198" s="443"/>
      <c r="M198" s="7"/>
      <c r="N198" s="206"/>
    </row>
    <row r="199" spans="1:14" s="6" customFormat="1" ht="15" customHeight="1" x14ac:dyDescent="0.25">
      <c r="A199" s="33"/>
      <c r="B199" s="40"/>
      <c r="C199" s="207">
        <f>K192+3</f>
        <v>41897</v>
      </c>
      <c r="D199" s="208"/>
      <c r="E199" s="207">
        <f>C199+1</f>
        <v>41898</v>
      </c>
      <c r="F199" s="208"/>
      <c r="G199" s="207">
        <f>E199+1</f>
        <v>41899</v>
      </c>
      <c r="H199" s="208"/>
      <c r="I199" s="207">
        <f>G199+1</f>
        <v>41900</v>
      </c>
      <c r="J199" s="212"/>
      <c r="K199" s="207">
        <f>I199+1</f>
        <v>41901</v>
      </c>
      <c r="L199" s="212"/>
      <c r="M199" s="7"/>
      <c r="N199" s="206"/>
    </row>
    <row r="200" spans="1:14" s="6" customFormat="1" ht="15" customHeight="1" x14ac:dyDescent="0.25">
      <c r="A200" s="33"/>
      <c r="B200" s="40"/>
      <c r="C200" s="317"/>
      <c r="D200" s="316"/>
      <c r="E200" s="428"/>
      <c r="F200" s="431"/>
      <c r="G200" s="428"/>
      <c r="H200" s="316"/>
      <c r="I200" s="417"/>
      <c r="J200" s="316"/>
      <c r="K200" s="417"/>
      <c r="L200" s="316"/>
      <c r="M200" s="7"/>
      <c r="N200" s="206"/>
    </row>
    <row r="201" spans="1:14" s="6" customFormat="1" ht="15" customHeight="1" x14ac:dyDescent="0.25">
      <c r="A201" s="33"/>
      <c r="B201" s="40"/>
      <c r="C201" s="317"/>
      <c r="D201" s="316"/>
      <c r="E201" s="331"/>
      <c r="F201" s="316"/>
      <c r="G201" s="331"/>
      <c r="H201" s="316"/>
      <c r="I201" s="331"/>
      <c r="J201" s="316"/>
      <c r="K201" s="331"/>
      <c r="L201" s="316"/>
      <c r="M201" s="7"/>
      <c r="N201" s="206"/>
    </row>
    <row r="202" spans="1:14" s="6" customFormat="1" ht="15" customHeight="1" x14ac:dyDescent="0.25">
      <c r="A202" s="33"/>
      <c r="B202" s="40"/>
      <c r="C202" s="383"/>
      <c r="D202" s="316"/>
      <c r="E202" s="331"/>
      <c r="F202" s="316"/>
      <c r="G202" s="331"/>
      <c r="H202" s="316"/>
      <c r="I202" s="428"/>
      <c r="J202" s="431"/>
      <c r="K202" s="428"/>
      <c r="L202" s="431"/>
      <c r="M202" s="7"/>
      <c r="N202" s="206"/>
    </row>
    <row r="203" spans="1:14" s="6" customFormat="1" ht="15" customHeight="1" x14ac:dyDescent="0.25">
      <c r="A203" s="33"/>
      <c r="B203" s="40"/>
      <c r="C203" s="317"/>
      <c r="D203" s="316"/>
      <c r="E203" s="331"/>
      <c r="F203" s="316"/>
      <c r="G203" s="331"/>
      <c r="H203" s="316"/>
      <c r="I203" s="331"/>
      <c r="J203" s="316"/>
      <c r="K203" s="331"/>
      <c r="L203" s="316"/>
      <c r="M203" s="7"/>
      <c r="N203" s="206"/>
    </row>
    <row r="204" spans="1:14" s="6" customFormat="1" ht="15" customHeight="1" x14ac:dyDescent="0.25">
      <c r="A204" s="33"/>
      <c r="B204" s="40"/>
      <c r="C204" s="317"/>
      <c r="D204" s="316"/>
      <c r="E204" s="331"/>
      <c r="F204" s="316"/>
      <c r="G204" s="331"/>
      <c r="H204" s="316"/>
      <c r="I204" s="317"/>
      <c r="J204" s="316"/>
      <c r="K204" s="317"/>
      <c r="L204" s="316"/>
      <c r="M204" s="7"/>
      <c r="N204" s="206"/>
    </row>
    <row r="205" spans="1:14" s="6" customFormat="1" ht="15" customHeight="1" x14ac:dyDescent="0.25">
      <c r="A205" s="33"/>
      <c r="B205" s="40"/>
      <c r="C205" s="318"/>
      <c r="D205" s="319"/>
      <c r="E205" s="380"/>
      <c r="F205" s="319"/>
      <c r="G205" s="380"/>
      <c r="H205" s="319"/>
      <c r="I205" s="318"/>
      <c r="J205" s="319"/>
      <c r="K205" s="318"/>
      <c r="L205" s="319"/>
      <c r="M205" s="7"/>
      <c r="N205" s="206"/>
    </row>
    <row r="206" spans="1:14" s="6" customFormat="1" ht="15" customHeight="1" x14ac:dyDescent="0.25">
      <c r="A206" s="33"/>
      <c r="B206" s="40"/>
      <c r="C206" s="207">
        <f>K199+3</f>
        <v>41904</v>
      </c>
      <c r="D206" s="208"/>
      <c r="E206" s="207">
        <f>C206+1</f>
        <v>41905</v>
      </c>
      <c r="F206" s="212"/>
      <c r="G206" s="207">
        <f>E206+1</f>
        <v>41906</v>
      </c>
      <c r="H206" s="208"/>
      <c r="I206" s="207">
        <f>G206+1</f>
        <v>41907</v>
      </c>
      <c r="J206" s="208"/>
      <c r="K206" s="207">
        <f>I206+1</f>
        <v>41908</v>
      </c>
      <c r="L206" s="208"/>
      <c r="M206" s="7"/>
      <c r="N206" s="206"/>
    </row>
    <row r="207" spans="1:14" s="6" customFormat="1" ht="15" customHeight="1" x14ac:dyDescent="0.25">
      <c r="A207" s="33"/>
      <c r="B207" s="40"/>
      <c r="C207" s="440"/>
      <c r="D207" s="316"/>
      <c r="E207" s="331"/>
      <c r="F207" s="316"/>
      <c r="G207" s="331"/>
      <c r="H207" s="316"/>
      <c r="I207" s="386"/>
      <c r="J207" s="316"/>
      <c r="K207" s="386"/>
      <c r="L207" s="316"/>
      <c r="M207" s="7"/>
      <c r="N207" s="206"/>
    </row>
    <row r="208" spans="1:14" s="6" customFormat="1" ht="15" customHeight="1" x14ac:dyDescent="0.25">
      <c r="A208" s="33"/>
      <c r="B208" s="40"/>
      <c r="C208" s="317"/>
      <c r="D208" s="316"/>
      <c r="E208" s="331"/>
      <c r="F208" s="316"/>
      <c r="G208" s="331"/>
      <c r="H208" s="316"/>
      <c r="I208" s="331"/>
      <c r="J208" s="316"/>
      <c r="K208" s="331"/>
      <c r="L208" s="316"/>
      <c r="M208" s="7"/>
      <c r="N208" s="206"/>
    </row>
    <row r="209" spans="1:14" s="6" customFormat="1" ht="15" customHeight="1" x14ac:dyDescent="0.25">
      <c r="A209" s="33"/>
      <c r="B209" s="40"/>
      <c r="C209" s="317"/>
      <c r="D209" s="316"/>
      <c r="E209" s="331"/>
      <c r="F209" s="316"/>
      <c r="G209" s="331"/>
      <c r="H209" s="316"/>
      <c r="I209" s="331"/>
      <c r="J209" s="316"/>
      <c r="K209" s="331"/>
      <c r="L209" s="316"/>
      <c r="M209" s="7"/>
      <c r="N209" s="206"/>
    </row>
    <row r="210" spans="1:14" s="6" customFormat="1" ht="15" customHeight="1" x14ac:dyDescent="0.25">
      <c r="A210" s="33"/>
      <c r="B210" s="40"/>
      <c r="C210" s="317"/>
      <c r="D210" s="316"/>
      <c r="E210" s="331"/>
      <c r="F210" s="316"/>
      <c r="G210" s="331"/>
      <c r="H210" s="316"/>
      <c r="I210" s="331"/>
      <c r="J210" s="316"/>
      <c r="K210" s="331"/>
      <c r="L210" s="316"/>
      <c r="M210" s="7"/>
      <c r="N210" s="206"/>
    </row>
    <row r="211" spans="1:14" s="6" customFormat="1" ht="15" customHeight="1" x14ac:dyDescent="0.25">
      <c r="A211" s="33"/>
      <c r="B211" s="429" t="s">
        <v>62</v>
      </c>
      <c r="C211" s="317"/>
      <c r="D211" s="316"/>
      <c r="E211" s="331"/>
      <c r="F211" s="316"/>
      <c r="G211" s="331"/>
      <c r="H211" s="316"/>
      <c r="I211" s="331"/>
      <c r="J211" s="316"/>
      <c r="K211" s="331"/>
      <c r="L211" s="316"/>
      <c r="M211" s="7"/>
      <c r="N211" s="206"/>
    </row>
    <row r="212" spans="1:14" s="6" customFormat="1" ht="15" customHeight="1" x14ac:dyDescent="0.25">
      <c r="A212" s="33"/>
      <c r="B212" s="429"/>
      <c r="C212" s="318"/>
      <c r="D212" s="319"/>
      <c r="E212" s="380"/>
      <c r="F212" s="319"/>
      <c r="G212" s="380"/>
      <c r="H212" s="319"/>
      <c r="I212" s="380"/>
      <c r="J212" s="319"/>
      <c r="K212" s="380"/>
      <c r="L212" s="319"/>
      <c r="M212" s="7"/>
      <c r="N212" s="206"/>
    </row>
    <row r="213" spans="1:14" s="6" customFormat="1" ht="15" customHeight="1" x14ac:dyDescent="0.25">
      <c r="A213" s="33"/>
      <c r="B213" s="429"/>
      <c r="C213" s="207">
        <f>K206+3</f>
        <v>41911</v>
      </c>
      <c r="D213" s="208"/>
      <c r="E213" s="213">
        <f>C213+1</f>
        <v>41912</v>
      </c>
      <c r="F213" s="211"/>
      <c r="G213" s="207">
        <f>E213+1</f>
        <v>41913</v>
      </c>
      <c r="H213" s="208"/>
      <c r="I213" s="207">
        <f>G213+1</f>
        <v>41914</v>
      </c>
      <c r="J213" s="208"/>
      <c r="K213" s="207">
        <f>I213+1</f>
        <v>41915</v>
      </c>
      <c r="L213" s="208"/>
      <c r="M213" s="7"/>
      <c r="N213" s="206"/>
    </row>
    <row r="214" spans="1:14" s="6" customFormat="1" ht="15" customHeight="1" x14ac:dyDescent="0.25">
      <c r="A214" s="33"/>
      <c r="B214" s="429"/>
      <c r="C214" s="317"/>
      <c r="D214" s="316"/>
      <c r="E214" s="331"/>
      <c r="F214" s="316"/>
      <c r="G214" s="317"/>
      <c r="H214" s="316"/>
      <c r="I214" s="331"/>
      <c r="J214" s="316"/>
      <c r="K214" s="331"/>
      <c r="L214" s="316"/>
      <c r="M214" s="7"/>
      <c r="N214" s="206"/>
    </row>
    <row r="215" spans="1:14" s="6" customFormat="1" ht="15" customHeight="1" x14ac:dyDescent="0.25">
      <c r="A215" s="33"/>
      <c r="B215" s="429"/>
      <c r="C215" s="317"/>
      <c r="D215" s="316"/>
      <c r="E215" s="386"/>
      <c r="F215" s="384"/>
      <c r="G215" s="317"/>
      <c r="H215" s="316"/>
      <c r="I215" s="331"/>
      <c r="J215" s="316"/>
      <c r="K215" s="331"/>
      <c r="L215" s="316"/>
      <c r="M215" s="7"/>
      <c r="N215" s="206"/>
    </row>
    <row r="216" spans="1:14" s="6" customFormat="1" ht="15" customHeight="1" x14ac:dyDescent="0.25">
      <c r="A216" s="33"/>
      <c r="B216" s="429"/>
      <c r="C216" s="383"/>
      <c r="D216" s="316"/>
      <c r="E216" s="331"/>
      <c r="F216" s="316"/>
      <c r="G216" s="317"/>
      <c r="H216" s="316"/>
      <c r="I216" s="331"/>
      <c r="J216" s="316"/>
      <c r="K216" s="331"/>
      <c r="L216" s="316"/>
      <c r="M216" s="7"/>
      <c r="N216" s="206"/>
    </row>
    <row r="217" spans="1:14" s="6" customFormat="1" ht="15" customHeight="1" x14ac:dyDescent="0.25">
      <c r="A217" s="33"/>
      <c r="B217" s="429"/>
      <c r="C217" s="317"/>
      <c r="D217" s="316"/>
      <c r="E217" s="331"/>
      <c r="F217" s="316"/>
      <c r="G217" s="317"/>
      <c r="H217" s="316"/>
      <c r="I217" s="331"/>
      <c r="J217" s="316"/>
      <c r="K217" s="331"/>
      <c r="L217" s="316"/>
      <c r="M217" s="7"/>
      <c r="N217" s="206"/>
    </row>
    <row r="218" spans="1:14" s="6" customFormat="1" ht="15" customHeight="1" x14ac:dyDescent="0.25">
      <c r="A218" s="33"/>
      <c r="B218" s="429"/>
      <c r="C218" s="331"/>
      <c r="D218" s="316"/>
      <c r="E218" s="331"/>
      <c r="F218" s="316"/>
      <c r="G218" s="317"/>
      <c r="H218" s="316"/>
      <c r="I218" s="331"/>
      <c r="J218" s="316"/>
      <c r="K218" s="331"/>
      <c r="L218" s="316"/>
      <c r="M218" s="7"/>
      <c r="N218" s="206"/>
    </row>
    <row r="219" spans="1:14" s="6" customFormat="1" ht="15" customHeight="1" x14ac:dyDescent="0.25">
      <c r="A219" s="33"/>
      <c r="B219" s="430"/>
      <c r="C219" s="380"/>
      <c r="D219" s="319"/>
      <c r="E219" s="380"/>
      <c r="F219" s="319"/>
      <c r="G219" s="318"/>
      <c r="H219" s="319"/>
      <c r="I219" s="380"/>
      <c r="J219" s="319"/>
      <c r="K219" s="380"/>
      <c r="L219" s="319"/>
      <c r="M219" s="7"/>
      <c r="N219" s="206"/>
    </row>
    <row r="220" spans="1:14" s="6" customFormat="1" ht="15" customHeight="1" x14ac:dyDescent="0.25">
      <c r="A220" s="33"/>
      <c r="B220" s="41"/>
      <c r="C220" s="207">
        <f>K213+3</f>
        <v>41918</v>
      </c>
      <c r="D220" s="208"/>
      <c r="E220" s="207">
        <f>C220+1</f>
        <v>41919</v>
      </c>
      <c r="F220" s="208"/>
      <c r="G220" s="207">
        <f>E220+1</f>
        <v>41920</v>
      </c>
      <c r="H220" s="208"/>
      <c r="I220" s="207">
        <f>G220+1</f>
        <v>41921</v>
      </c>
      <c r="J220" s="208"/>
      <c r="K220" s="207">
        <f>I220+1</f>
        <v>41922</v>
      </c>
      <c r="L220" s="208"/>
      <c r="M220" s="7"/>
      <c r="N220" s="206"/>
    </row>
    <row r="221" spans="1:14" s="6" customFormat="1" ht="15" customHeight="1" x14ac:dyDescent="0.25">
      <c r="A221" s="33"/>
      <c r="B221" s="42"/>
      <c r="C221" s="317"/>
      <c r="D221" s="316"/>
      <c r="E221" s="331"/>
      <c r="F221" s="316"/>
      <c r="G221" s="331"/>
      <c r="H221" s="316"/>
      <c r="I221" s="331"/>
      <c r="J221" s="316"/>
      <c r="K221" s="331"/>
      <c r="L221" s="316"/>
      <c r="M221" s="7"/>
      <c r="N221" s="206"/>
    </row>
    <row r="222" spans="1:14" s="6" customFormat="1" ht="15" customHeight="1" x14ac:dyDescent="0.25">
      <c r="A222" s="33"/>
      <c r="B222" s="42"/>
      <c r="C222" s="317"/>
      <c r="D222" s="316"/>
      <c r="E222" s="331"/>
      <c r="F222" s="316"/>
      <c r="G222" s="331"/>
      <c r="H222" s="316"/>
      <c r="I222" s="331"/>
      <c r="J222" s="316"/>
      <c r="K222" s="331"/>
      <c r="L222" s="316"/>
      <c r="M222" s="7"/>
      <c r="N222" s="206"/>
    </row>
    <row r="223" spans="1:14" s="6" customFormat="1" ht="15" customHeight="1" x14ac:dyDescent="0.25">
      <c r="A223" s="33"/>
      <c r="B223" s="42"/>
      <c r="C223" s="383"/>
      <c r="D223" s="384"/>
      <c r="E223" s="331"/>
      <c r="F223" s="316"/>
      <c r="G223" s="331"/>
      <c r="H223" s="316"/>
      <c r="I223" s="331"/>
      <c r="J223" s="316"/>
      <c r="K223" s="331"/>
      <c r="L223" s="316"/>
      <c r="M223" s="7"/>
      <c r="N223" s="206"/>
    </row>
    <row r="224" spans="1:14" s="6" customFormat="1" ht="15" customHeight="1" x14ac:dyDescent="0.25">
      <c r="A224" s="33"/>
      <c r="B224" s="42"/>
      <c r="C224" s="317"/>
      <c r="D224" s="316"/>
      <c r="E224" s="331"/>
      <c r="F224" s="316"/>
      <c r="G224" s="331"/>
      <c r="H224" s="316"/>
      <c r="I224" s="331"/>
      <c r="J224" s="316"/>
      <c r="K224" s="331"/>
      <c r="L224" s="316"/>
      <c r="M224" s="7"/>
      <c r="N224" s="206"/>
    </row>
    <row r="225" spans="1:14" s="6" customFormat="1" ht="15" customHeight="1" x14ac:dyDescent="0.25">
      <c r="A225" s="33"/>
      <c r="B225" s="42"/>
      <c r="C225" s="317"/>
      <c r="D225" s="316"/>
      <c r="E225" s="331"/>
      <c r="F225" s="316"/>
      <c r="G225" s="331"/>
      <c r="H225" s="316"/>
      <c r="I225" s="331"/>
      <c r="J225" s="316"/>
      <c r="K225" s="331"/>
      <c r="L225" s="316"/>
      <c r="M225" s="7"/>
      <c r="N225" s="206"/>
    </row>
    <row r="226" spans="1:14" s="6" customFormat="1" ht="15" customHeight="1" x14ac:dyDescent="0.25">
      <c r="A226" s="33"/>
      <c r="B226" s="42"/>
      <c r="C226" s="318"/>
      <c r="D226" s="319"/>
      <c r="E226" s="380"/>
      <c r="F226" s="319"/>
      <c r="G226" s="380"/>
      <c r="H226" s="319"/>
      <c r="I226" s="380"/>
      <c r="J226" s="319"/>
      <c r="K226" s="380"/>
      <c r="L226" s="319"/>
      <c r="M226" s="7"/>
      <c r="N226" s="206"/>
    </row>
    <row r="227" spans="1:14" s="6" customFormat="1" ht="15" customHeight="1" x14ac:dyDescent="0.25">
      <c r="A227" s="33"/>
      <c r="B227" s="42"/>
      <c r="C227" s="207">
        <f>K220+3</f>
        <v>41925</v>
      </c>
      <c r="D227" s="208"/>
      <c r="E227" s="213">
        <f>C227+1</f>
        <v>41926</v>
      </c>
      <c r="F227" s="211"/>
      <c r="G227" s="207">
        <f>E227+1</f>
        <v>41927</v>
      </c>
      <c r="H227" s="208"/>
      <c r="I227" s="207">
        <f>G227+1</f>
        <v>41928</v>
      </c>
      <c r="J227" s="212"/>
      <c r="K227" s="207">
        <f>I227+1</f>
        <v>41929</v>
      </c>
      <c r="L227" s="212"/>
      <c r="M227" s="7"/>
      <c r="N227" s="206"/>
    </row>
    <row r="228" spans="1:14" s="6" customFormat="1" ht="15" customHeight="1" x14ac:dyDescent="0.25">
      <c r="A228" s="33"/>
      <c r="B228" s="42"/>
      <c r="C228" s="317"/>
      <c r="D228" s="316"/>
      <c r="E228" s="331"/>
      <c r="F228" s="316"/>
      <c r="G228" s="331"/>
      <c r="H228" s="316"/>
      <c r="I228" s="331"/>
      <c r="J228" s="316"/>
      <c r="K228" s="331"/>
      <c r="L228" s="316"/>
      <c r="M228" s="7"/>
      <c r="N228" s="206"/>
    </row>
    <row r="229" spans="1:14" s="6" customFormat="1" ht="15" customHeight="1" x14ac:dyDescent="0.25">
      <c r="A229" s="33"/>
      <c r="B229" s="42"/>
      <c r="C229" s="317"/>
      <c r="D229" s="316"/>
      <c r="E229" s="331"/>
      <c r="F229" s="316"/>
      <c r="G229" s="331"/>
      <c r="H229" s="316"/>
      <c r="I229" s="331"/>
      <c r="J229" s="316"/>
      <c r="K229" s="331"/>
      <c r="L229" s="316"/>
      <c r="M229" s="7"/>
      <c r="N229" s="206"/>
    </row>
    <row r="230" spans="1:14" s="6" customFormat="1" ht="15" customHeight="1" x14ac:dyDescent="0.25">
      <c r="A230" s="33"/>
      <c r="B230" s="42"/>
      <c r="C230" s="317"/>
      <c r="D230" s="316"/>
      <c r="E230" s="331"/>
      <c r="F230" s="316"/>
      <c r="G230" s="331"/>
      <c r="H230" s="316"/>
      <c r="I230" s="331"/>
      <c r="J230" s="316"/>
      <c r="K230" s="331"/>
      <c r="L230" s="316"/>
      <c r="M230" s="7"/>
      <c r="N230" s="206"/>
    </row>
    <row r="231" spans="1:14" s="6" customFormat="1" ht="15" customHeight="1" x14ac:dyDescent="0.25">
      <c r="A231" s="33"/>
      <c r="B231" s="42"/>
      <c r="C231" s="317"/>
      <c r="D231" s="316"/>
      <c r="E231" s="331"/>
      <c r="F231" s="316"/>
      <c r="G231" s="331"/>
      <c r="H231" s="316"/>
      <c r="I231" s="331"/>
      <c r="J231" s="316"/>
      <c r="K231" s="331"/>
      <c r="L231" s="316"/>
      <c r="M231" s="7"/>
      <c r="N231" s="206"/>
    </row>
    <row r="232" spans="1:14" s="6" customFormat="1" ht="15" customHeight="1" x14ac:dyDescent="0.25">
      <c r="A232" s="33"/>
      <c r="B232" s="42"/>
      <c r="C232" s="317"/>
      <c r="D232" s="316"/>
      <c r="E232" s="331"/>
      <c r="F232" s="316"/>
      <c r="G232" s="455"/>
      <c r="H232" s="316"/>
      <c r="I232" s="331"/>
      <c r="J232" s="316"/>
      <c r="K232" s="331"/>
      <c r="L232" s="316"/>
      <c r="M232" s="7"/>
      <c r="N232" s="206"/>
    </row>
    <row r="233" spans="1:14" s="6" customFormat="1" ht="15" customHeight="1" x14ac:dyDescent="0.25">
      <c r="A233" s="33"/>
      <c r="B233" s="42"/>
      <c r="C233" s="453"/>
      <c r="D233" s="443"/>
      <c r="E233" s="444"/>
      <c r="F233" s="319"/>
      <c r="G233" s="442"/>
      <c r="H233" s="443"/>
      <c r="I233" s="442"/>
      <c r="J233" s="443"/>
      <c r="K233" s="442"/>
      <c r="L233" s="443"/>
      <c r="M233" s="7"/>
      <c r="N233" s="206"/>
    </row>
    <row r="234" spans="1:14" s="6" customFormat="1" ht="15" customHeight="1" x14ac:dyDescent="0.25">
      <c r="A234" s="33"/>
      <c r="B234" s="42"/>
      <c r="C234" s="207">
        <f>K227+3</f>
        <v>41932</v>
      </c>
      <c r="D234" s="208"/>
      <c r="E234" s="207">
        <f>C234+1</f>
        <v>41933</v>
      </c>
      <c r="F234" s="208"/>
      <c r="G234" s="207">
        <f>E234+1</f>
        <v>41934</v>
      </c>
      <c r="H234" s="208"/>
      <c r="I234" s="207">
        <f>G234+1</f>
        <v>41935</v>
      </c>
      <c r="J234" s="212"/>
      <c r="K234" s="207">
        <f>I234+1</f>
        <v>41936</v>
      </c>
      <c r="L234" s="212"/>
      <c r="M234" s="7"/>
      <c r="N234" s="206"/>
    </row>
    <row r="235" spans="1:14" s="6" customFormat="1" ht="15" customHeight="1" x14ac:dyDescent="0.25">
      <c r="A235" s="33"/>
      <c r="B235" s="42"/>
      <c r="C235" s="317"/>
      <c r="D235" s="316"/>
      <c r="E235" s="331"/>
      <c r="F235" s="316"/>
      <c r="G235" s="331"/>
      <c r="H235" s="316"/>
      <c r="I235" s="331"/>
      <c r="J235" s="316"/>
      <c r="K235" s="331"/>
      <c r="L235" s="316"/>
      <c r="M235" s="7"/>
      <c r="N235" s="206"/>
    </row>
    <row r="236" spans="1:14" s="6" customFormat="1" ht="15" customHeight="1" x14ac:dyDescent="0.25">
      <c r="A236" s="33"/>
      <c r="B236" s="42"/>
      <c r="C236" s="317"/>
      <c r="D236" s="316"/>
      <c r="E236" s="331"/>
      <c r="F236" s="316"/>
      <c r="G236" s="331"/>
      <c r="H236" s="316"/>
      <c r="I236" s="331"/>
      <c r="J236" s="316"/>
      <c r="K236" s="331"/>
      <c r="L236" s="316"/>
      <c r="M236" s="7"/>
      <c r="N236" s="206"/>
    </row>
    <row r="237" spans="1:14" s="6" customFormat="1" ht="15" customHeight="1" x14ac:dyDescent="0.25">
      <c r="A237" s="33"/>
      <c r="B237" s="42"/>
      <c r="C237" s="317"/>
      <c r="D237" s="316"/>
      <c r="E237" s="331"/>
      <c r="F237" s="316"/>
      <c r="G237" s="331"/>
      <c r="H237" s="316"/>
      <c r="I237" s="331"/>
      <c r="J237" s="316"/>
      <c r="K237" s="331"/>
      <c r="L237" s="316"/>
      <c r="M237" s="7"/>
      <c r="N237" s="206"/>
    </row>
    <row r="238" spans="1:14" s="6" customFormat="1" ht="15" customHeight="1" x14ac:dyDescent="0.25">
      <c r="A238" s="33"/>
      <c r="B238" s="42"/>
      <c r="C238" s="317"/>
      <c r="D238" s="316"/>
      <c r="E238" s="331"/>
      <c r="F238" s="316"/>
      <c r="G238" s="331"/>
      <c r="H238" s="316"/>
      <c r="I238" s="331"/>
      <c r="J238" s="316"/>
      <c r="K238" s="331"/>
      <c r="L238" s="316"/>
      <c r="M238" s="7"/>
      <c r="N238" s="206"/>
    </row>
    <row r="239" spans="1:14" s="6" customFormat="1" ht="15" customHeight="1" x14ac:dyDescent="0.25">
      <c r="A239" s="33"/>
      <c r="B239" s="42"/>
      <c r="C239" s="317"/>
      <c r="D239" s="316"/>
      <c r="E239" s="331"/>
      <c r="F239" s="316"/>
      <c r="G239" s="331"/>
      <c r="H239" s="316"/>
      <c r="I239" s="331"/>
      <c r="J239" s="316"/>
      <c r="K239" s="331"/>
      <c r="L239" s="316"/>
      <c r="M239" s="7"/>
      <c r="N239" s="206"/>
    </row>
    <row r="240" spans="1:14" s="6" customFormat="1" ht="15" customHeight="1" x14ac:dyDescent="0.25">
      <c r="A240" s="33"/>
      <c r="B240" s="42"/>
      <c r="C240" s="318"/>
      <c r="D240" s="319"/>
      <c r="E240" s="380"/>
      <c r="F240" s="319"/>
      <c r="G240" s="380"/>
      <c r="H240" s="319"/>
      <c r="I240" s="380"/>
      <c r="J240" s="319"/>
      <c r="K240" s="380"/>
      <c r="L240" s="319"/>
      <c r="M240" s="7"/>
      <c r="N240" s="206"/>
    </row>
    <row r="241" spans="1:14" s="6" customFormat="1" ht="15" customHeight="1" x14ac:dyDescent="0.25">
      <c r="A241" s="33"/>
      <c r="B241" s="434" t="s">
        <v>61</v>
      </c>
      <c r="C241" s="207">
        <f>K234+3</f>
        <v>41939</v>
      </c>
      <c r="D241" s="208"/>
      <c r="E241" s="207">
        <f>C241+1</f>
        <v>41940</v>
      </c>
      <c r="F241" s="212"/>
      <c r="G241" s="207">
        <f>E241+1</f>
        <v>41941</v>
      </c>
      <c r="H241" s="208"/>
      <c r="I241" s="207">
        <f>G241+1</f>
        <v>41942</v>
      </c>
      <c r="J241" s="208"/>
      <c r="K241" s="207">
        <f>I241+1</f>
        <v>41943</v>
      </c>
      <c r="L241" s="208"/>
      <c r="M241" s="7"/>
      <c r="N241" s="206"/>
    </row>
    <row r="242" spans="1:14" s="6" customFormat="1" ht="15" customHeight="1" x14ac:dyDescent="0.25">
      <c r="A242" s="33"/>
      <c r="B242" s="434"/>
      <c r="C242" s="440"/>
      <c r="D242" s="456"/>
      <c r="E242" s="331"/>
      <c r="F242" s="316"/>
      <c r="G242" s="331"/>
      <c r="H242" s="316"/>
      <c r="I242" s="331"/>
      <c r="J242" s="316"/>
      <c r="K242" s="331"/>
      <c r="L242" s="316"/>
      <c r="M242" s="7"/>
      <c r="N242" s="206"/>
    </row>
    <row r="243" spans="1:14" s="6" customFormat="1" ht="15" customHeight="1" x14ac:dyDescent="0.25">
      <c r="A243" s="33"/>
      <c r="B243" s="434"/>
      <c r="C243" s="317"/>
      <c r="D243" s="316"/>
      <c r="E243" s="331"/>
      <c r="F243" s="316"/>
      <c r="G243" s="331"/>
      <c r="H243" s="316"/>
      <c r="I243" s="331"/>
      <c r="J243" s="316"/>
      <c r="K243" s="331"/>
      <c r="L243" s="316"/>
      <c r="M243" s="7"/>
      <c r="N243" s="206"/>
    </row>
    <row r="244" spans="1:14" s="6" customFormat="1" ht="15" customHeight="1" x14ac:dyDescent="0.25">
      <c r="A244" s="33"/>
      <c r="B244" s="434"/>
      <c r="C244" s="457"/>
      <c r="D244" s="458"/>
      <c r="E244" s="331"/>
      <c r="F244" s="316"/>
      <c r="G244" s="331"/>
      <c r="H244" s="316"/>
      <c r="I244" s="331"/>
      <c r="J244" s="316"/>
      <c r="K244" s="331"/>
      <c r="L244" s="316"/>
      <c r="M244" s="7"/>
      <c r="N244" s="206"/>
    </row>
    <row r="245" spans="1:14" s="6" customFormat="1" ht="15" customHeight="1" x14ac:dyDescent="0.25">
      <c r="A245" s="33"/>
      <c r="B245" s="434"/>
      <c r="C245" s="317"/>
      <c r="D245" s="316"/>
      <c r="E245" s="331"/>
      <c r="F245" s="316"/>
      <c r="G245" s="331"/>
      <c r="H245" s="316"/>
      <c r="I245" s="331"/>
      <c r="J245" s="316"/>
      <c r="K245" s="331"/>
      <c r="L245" s="316"/>
      <c r="M245" s="7"/>
      <c r="N245" s="206"/>
    </row>
    <row r="246" spans="1:14" s="6" customFormat="1" ht="15" customHeight="1" x14ac:dyDescent="0.25">
      <c r="A246" s="33"/>
      <c r="B246" s="434"/>
      <c r="C246" s="317"/>
      <c r="D246" s="316"/>
      <c r="E246" s="331"/>
      <c r="F246" s="316"/>
      <c r="G246" s="331"/>
      <c r="H246" s="316"/>
      <c r="I246" s="331"/>
      <c r="J246" s="316"/>
      <c r="K246" s="331"/>
      <c r="L246" s="316"/>
      <c r="M246" s="7"/>
      <c r="N246" s="206"/>
    </row>
    <row r="247" spans="1:14" s="6" customFormat="1" ht="15" customHeight="1" x14ac:dyDescent="0.25">
      <c r="A247" s="33"/>
      <c r="B247" s="437"/>
      <c r="C247" s="380"/>
      <c r="D247" s="319"/>
      <c r="E247" s="380"/>
      <c r="F247" s="319"/>
      <c r="G247" s="380"/>
      <c r="H247" s="319"/>
      <c r="I247" s="380"/>
      <c r="J247" s="319"/>
      <c r="K247" s="380"/>
      <c r="L247" s="319"/>
      <c r="M247" s="7"/>
      <c r="N247" s="206"/>
    </row>
    <row r="248" spans="1:14" s="6" customFormat="1" ht="15" customHeight="1" x14ac:dyDescent="0.25">
      <c r="A248" s="33"/>
      <c r="B248" s="39"/>
      <c r="C248" s="207">
        <f>K241+3</f>
        <v>41946</v>
      </c>
      <c r="D248" s="208"/>
      <c r="E248" s="207">
        <f>C248+1</f>
        <v>41947</v>
      </c>
      <c r="F248" s="208"/>
      <c r="G248" s="207">
        <f>E248+1</f>
        <v>41948</v>
      </c>
      <c r="H248" s="208"/>
      <c r="I248" s="207">
        <f>G248+1</f>
        <v>41949</v>
      </c>
      <c r="J248" s="208"/>
      <c r="K248" s="207">
        <f>I248+1</f>
        <v>41950</v>
      </c>
      <c r="L248" s="208"/>
      <c r="M248" s="7"/>
      <c r="N248" s="206"/>
    </row>
    <row r="249" spans="1:14" s="6" customFormat="1" ht="15" customHeight="1" x14ac:dyDescent="0.25">
      <c r="A249" s="33"/>
      <c r="B249" s="40"/>
      <c r="C249" s="317"/>
      <c r="D249" s="316"/>
      <c r="E249" s="331"/>
      <c r="F249" s="316"/>
      <c r="G249" s="331"/>
      <c r="H249" s="316"/>
      <c r="I249" s="331"/>
      <c r="J249" s="316"/>
      <c r="K249" s="331"/>
      <c r="L249" s="316"/>
      <c r="M249" s="7"/>
      <c r="N249" s="206"/>
    </row>
    <row r="250" spans="1:14" s="6" customFormat="1" ht="15" customHeight="1" x14ac:dyDescent="0.25">
      <c r="A250" s="33"/>
      <c r="B250" s="40"/>
      <c r="C250" s="317"/>
      <c r="D250" s="316"/>
      <c r="E250" s="331"/>
      <c r="F250" s="316"/>
      <c r="G250" s="331"/>
      <c r="H250" s="316"/>
      <c r="I250" s="331"/>
      <c r="J250" s="316"/>
      <c r="K250" s="331"/>
      <c r="L250" s="316"/>
      <c r="M250" s="7"/>
      <c r="N250" s="206"/>
    </row>
    <row r="251" spans="1:14" s="6" customFormat="1" ht="15" customHeight="1" x14ac:dyDescent="0.25">
      <c r="A251" s="33"/>
      <c r="B251" s="40"/>
      <c r="C251" s="383"/>
      <c r="D251" s="384"/>
      <c r="E251" s="331"/>
      <c r="F251" s="316"/>
      <c r="G251" s="331"/>
      <c r="H251" s="316"/>
      <c r="I251" s="459"/>
      <c r="J251" s="316"/>
      <c r="K251" s="459"/>
      <c r="L251" s="316"/>
      <c r="M251" s="7"/>
      <c r="N251" s="206"/>
    </row>
    <row r="252" spans="1:14" s="6" customFormat="1" ht="15" customHeight="1" x14ac:dyDescent="0.25">
      <c r="A252" s="33"/>
      <c r="B252" s="40"/>
      <c r="C252" s="317"/>
      <c r="D252" s="316"/>
      <c r="E252" s="331"/>
      <c r="F252" s="316"/>
      <c r="G252" s="331"/>
      <c r="H252" s="316"/>
      <c r="I252" s="331"/>
      <c r="J252" s="316"/>
      <c r="K252" s="331"/>
      <c r="L252" s="316"/>
      <c r="M252" s="7"/>
      <c r="N252" s="206"/>
    </row>
    <row r="253" spans="1:14" s="6" customFormat="1" ht="15" customHeight="1" x14ac:dyDescent="0.25">
      <c r="A253" s="33"/>
      <c r="B253" s="40"/>
      <c r="C253" s="317"/>
      <c r="D253" s="316"/>
      <c r="E253" s="331"/>
      <c r="F253" s="316"/>
      <c r="G253" s="331"/>
      <c r="H253" s="316"/>
      <c r="I253" s="331"/>
      <c r="J253" s="316"/>
      <c r="K253" s="331"/>
      <c r="L253" s="316"/>
      <c r="M253" s="7"/>
      <c r="N253" s="206"/>
    </row>
    <row r="254" spans="1:14" s="6" customFormat="1" ht="15" customHeight="1" x14ac:dyDescent="0.25">
      <c r="A254" s="33"/>
      <c r="B254" s="40"/>
      <c r="C254" s="318"/>
      <c r="D254" s="319"/>
      <c r="E254" s="380"/>
      <c r="F254" s="319"/>
      <c r="G254" s="380"/>
      <c r="H254" s="319"/>
      <c r="I254" s="380"/>
      <c r="J254" s="319"/>
      <c r="K254" s="380"/>
      <c r="L254" s="319"/>
      <c r="M254" s="7"/>
      <c r="N254" s="206"/>
    </row>
    <row r="255" spans="1:14" s="6" customFormat="1" ht="15" customHeight="1" x14ac:dyDescent="0.25">
      <c r="A255" s="33"/>
      <c r="B255" s="40"/>
      <c r="C255" s="207">
        <f>K248+3</f>
        <v>41953</v>
      </c>
      <c r="D255" s="208"/>
      <c r="E255" s="213">
        <f>C255+1</f>
        <v>41954</v>
      </c>
      <c r="F255" s="211" t="s">
        <v>60</v>
      </c>
      <c r="G255" s="207">
        <f>E255+1</f>
        <v>41955</v>
      </c>
      <c r="H255" s="208"/>
      <c r="I255" s="207">
        <f>G255+1</f>
        <v>41956</v>
      </c>
      <c r="J255" s="208"/>
      <c r="K255" s="207">
        <f>I255+1</f>
        <v>41957</v>
      </c>
      <c r="L255" s="208"/>
      <c r="M255" s="7"/>
      <c r="N255" s="206"/>
    </row>
    <row r="256" spans="1:14" s="6" customFormat="1" ht="15" customHeight="1" x14ac:dyDescent="0.25">
      <c r="A256" s="33"/>
      <c r="B256" s="40"/>
      <c r="C256" s="317"/>
      <c r="D256" s="316"/>
      <c r="E256" s="331"/>
      <c r="F256" s="316"/>
      <c r="G256" s="331"/>
      <c r="H256" s="316"/>
      <c r="I256" s="331"/>
      <c r="J256" s="316"/>
      <c r="K256" s="331"/>
      <c r="L256" s="316"/>
      <c r="M256" s="7"/>
      <c r="N256" s="206"/>
    </row>
    <row r="257" spans="1:14" s="6" customFormat="1" ht="15" customHeight="1" x14ac:dyDescent="0.25">
      <c r="A257" s="33"/>
      <c r="B257" s="40"/>
      <c r="C257" s="317"/>
      <c r="D257" s="316"/>
      <c r="E257" s="331"/>
      <c r="F257" s="316"/>
      <c r="G257" s="331"/>
      <c r="H257" s="316"/>
      <c r="I257" s="331"/>
      <c r="J257" s="316"/>
      <c r="K257" s="331"/>
      <c r="L257" s="316"/>
      <c r="M257" s="7"/>
      <c r="N257" s="206"/>
    </row>
    <row r="258" spans="1:14" s="6" customFormat="1" ht="15" customHeight="1" x14ac:dyDescent="0.25">
      <c r="A258" s="33"/>
      <c r="B258" s="40"/>
      <c r="C258" s="317"/>
      <c r="D258" s="316"/>
      <c r="E258" s="331"/>
      <c r="F258" s="316"/>
      <c r="G258" s="331"/>
      <c r="H258" s="316"/>
      <c r="I258" s="331"/>
      <c r="J258" s="316"/>
      <c r="K258" s="331"/>
      <c r="L258" s="316"/>
      <c r="M258" s="7"/>
      <c r="N258" s="206"/>
    </row>
    <row r="259" spans="1:14" s="6" customFormat="1" ht="15" customHeight="1" x14ac:dyDescent="0.25">
      <c r="A259" s="33"/>
      <c r="B259" s="40"/>
      <c r="C259" s="317"/>
      <c r="D259" s="316"/>
      <c r="E259" s="331"/>
      <c r="F259" s="316"/>
      <c r="G259" s="331"/>
      <c r="H259" s="316"/>
      <c r="I259" s="331"/>
      <c r="J259" s="316"/>
      <c r="K259" s="331"/>
      <c r="L259" s="316"/>
      <c r="M259" s="7"/>
      <c r="N259" s="206"/>
    </row>
    <row r="260" spans="1:14" s="6" customFormat="1" ht="15" customHeight="1" x14ac:dyDescent="0.25">
      <c r="A260" s="33"/>
      <c r="B260" s="40"/>
      <c r="C260" s="317"/>
      <c r="D260" s="316"/>
      <c r="E260" s="331"/>
      <c r="F260" s="316"/>
      <c r="G260" s="331"/>
      <c r="H260" s="316"/>
      <c r="I260" s="331"/>
      <c r="J260" s="316"/>
      <c r="K260" s="331"/>
      <c r="L260" s="316"/>
      <c r="M260" s="7"/>
      <c r="N260" s="206"/>
    </row>
    <row r="261" spans="1:14" s="6" customFormat="1" ht="15" customHeight="1" x14ac:dyDescent="0.25">
      <c r="A261" s="33"/>
      <c r="B261" s="40"/>
      <c r="C261" s="460"/>
      <c r="D261" s="319"/>
      <c r="E261" s="380"/>
      <c r="F261" s="319"/>
      <c r="G261" s="380"/>
      <c r="H261" s="319"/>
      <c r="I261" s="380"/>
      <c r="J261" s="319"/>
      <c r="K261" s="380"/>
      <c r="L261" s="319"/>
      <c r="M261" s="7"/>
      <c r="N261" s="206"/>
    </row>
    <row r="262" spans="1:14" s="6" customFormat="1" ht="15" customHeight="1" x14ac:dyDescent="0.25">
      <c r="A262" s="33"/>
      <c r="B262" s="40"/>
      <c r="C262" s="207">
        <f>K255+3</f>
        <v>41960</v>
      </c>
      <c r="D262" s="208"/>
      <c r="E262" s="207">
        <f>C262+1</f>
        <v>41961</v>
      </c>
      <c r="F262" s="208"/>
      <c r="G262" s="207">
        <f>E262+1</f>
        <v>41962</v>
      </c>
      <c r="H262" s="208"/>
      <c r="I262" s="207">
        <f>G262+1</f>
        <v>41963</v>
      </c>
      <c r="J262" s="208"/>
      <c r="K262" s="207">
        <f>I262+1</f>
        <v>41964</v>
      </c>
      <c r="L262" s="208"/>
      <c r="M262" s="7"/>
      <c r="N262" s="206"/>
    </row>
    <row r="263" spans="1:14" s="6" customFormat="1" ht="15" customHeight="1" x14ac:dyDescent="0.25">
      <c r="A263" s="33"/>
      <c r="B263" s="40"/>
      <c r="C263" s="317"/>
      <c r="D263" s="316"/>
      <c r="E263" s="331"/>
      <c r="F263" s="316"/>
      <c r="G263" s="331"/>
      <c r="H263" s="316"/>
      <c r="I263" s="428"/>
      <c r="J263" s="431"/>
      <c r="K263" s="428"/>
      <c r="L263" s="431"/>
      <c r="M263" s="7"/>
      <c r="N263" s="206"/>
    </row>
    <row r="264" spans="1:14" s="6" customFormat="1" ht="15" customHeight="1" x14ac:dyDescent="0.25">
      <c r="A264" s="33"/>
      <c r="B264" s="40"/>
      <c r="C264" s="317"/>
      <c r="D264" s="316"/>
      <c r="E264" s="331"/>
      <c r="F264" s="316"/>
      <c r="G264" s="331"/>
      <c r="H264" s="316"/>
      <c r="I264" s="331"/>
      <c r="J264" s="316"/>
      <c r="K264" s="331"/>
      <c r="L264" s="316"/>
      <c r="M264" s="7"/>
      <c r="N264" s="206"/>
    </row>
    <row r="265" spans="1:14" s="6" customFormat="1" ht="15" customHeight="1" x14ac:dyDescent="0.25">
      <c r="A265" s="33"/>
      <c r="B265" s="40"/>
      <c r="C265" s="383"/>
      <c r="D265" s="384"/>
      <c r="E265" s="331"/>
      <c r="F265" s="316"/>
      <c r="G265" s="331"/>
      <c r="H265" s="316"/>
      <c r="I265" s="428"/>
      <c r="J265" s="431"/>
      <c r="K265" s="428"/>
      <c r="L265" s="431"/>
      <c r="M265" s="7"/>
      <c r="N265" s="206"/>
    </row>
    <row r="266" spans="1:14" s="6" customFormat="1" ht="15" customHeight="1" x14ac:dyDescent="0.25">
      <c r="A266" s="33"/>
      <c r="B266" s="429" t="s">
        <v>59</v>
      </c>
      <c r="C266" s="317"/>
      <c r="D266" s="316"/>
      <c r="E266" s="386"/>
      <c r="F266" s="384"/>
      <c r="G266" s="331"/>
      <c r="H266" s="316"/>
      <c r="I266" s="331"/>
      <c r="J266" s="316"/>
      <c r="K266" s="331"/>
      <c r="L266" s="316"/>
      <c r="M266" s="7"/>
      <c r="N266" s="206"/>
    </row>
    <row r="267" spans="1:14" s="6" customFormat="1" ht="15" customHeight="1" x14ac:dyDescent="0.25">
      <c r="A267" s="33"/>
      <c r="B267" s="429"/>
      <c r="C267" s="317"/>
      <c r="D267" s="316"/>
      <c r="E267" s="331"/>
      <c r="F267" s="316"/>
      <c r="G267" s="331"/>
      <c r="H267" s="316"/>
      <c r="I267" s="331"/>
      <c r="J267" s="316"/>
      <c r="K267" s="331"/>
      <c r="L267" s="316"/>
      <c r="M267" s="7"/>
      <c r="N267" s="206"/>
    </row>
    <row r="268" spans="1:14" s="6" customFormat="1" ht="15" customHeight="1" x14ac:dyDescent="0.25">
      <c r="A268" s="33"/>
      <c r="B268" s="429"/>
      <c r="C268" s="318"/>
      <c r="D268" s="319"/>
      <c r="E268" s="380"/>
      <c r="F268" s="319"/>
      <c r="G268" s="380"/>
      <c r="H268" s="319"/>
      <c r="I268" s="462"/>
      <c r="J268" s="319"/>
      <c r="K268" s="462"/>
      <c r="L268" s="319"/>
      <c r="M268" s="7"/>
      <c r="N268" s="206"/>
    </row>
    <row r="269" spans="1:14" s="6" customFormat="1" ht="15" customHeight="1" x14ac:dyDescent="0.25">
      <c r="A269" s="33"/>
      <c r="B269" s="429"/>
      <c r="C269" s="207">
        <f>K262+3</f>
        <v>41967</v>
      </c>
      <c r="D269" s="208"/>
      <c r="E269" s="207">
        <f>C269+1</f>
        <v>41968</v>
      </c>
      <c r="F269" s="208"/>
      <c r="G269" s="207">
        <f>E269+1</f>
        <v>41969</v>
      </c>
      <c r="H269" s="208"/>
      <c r="I269" s="207">
        <f>G269+1</f>
        <v>41970</v>
      </c>
      <c r="J269" s="208" t="s">
        <v>146</v>
      </c>
      <c r="K269" s="207">
        <f>I269+1</f>
        <v>41971</v>
      </c>
      <c r="L269" s="208"/>
      <c r="M269" s="7"/>
      <c r="N269" s="206"/>
    </row>
    <row r="270" spans="1:14" s="6" customFormat="1" ht="15" customHeight="1" x14ac:dyDescent="0.25">
      <c r="A270" s="33"/>
      <c r="B270" s="429"/>
      <c r="C270" s="440"/>
      <c r="D270" s="456"/>
      <c r="E270" s="331"/>
      <c r="F270" s="316"/>
      <c r="G270" s="331"/>
      <c r="H270" s="316"/>
      <c r="I270" s="331"/>
      <c r="J270" s="316"/>
      <c r="K270" s="331"/>
      <c r="L270" s="316"/>
      <c r="M270" s="7"/>
      <c r="N270" s="206"/>
    </row>
    <row r="271" spans="1:14" s="6" customFormat="1" ht="15" customHeight="1" x14ac:dyDescent="0.25">
      <c r="A271" s="33"/>
      <c r="B271" s="429"/>
      <c r="C271" s="317"/>
      <c r="D271" s="316"/>
      <c r="E271" s="331"/>
      <c r="F271" s="316"/>
      <c r="G271" s="386"/>
      <c r="H271" s="316"/>
      <c r="I271" s="331"/>
      <c r="J271" s="316"/>
      <c r="K271" s="331"/>
      <c r="L271" s="316"/>
      <c r="M271" s="7"/>
      <c r="N271" s="206"/>
    </row>
    <row r="272" spans="1:14" s="6" customFormat="1" ht="15" customHeight="1" x14ac:dyDescent="0.25">
      <c r="A272" s="33"/>
      <c r="B272" s="429"/>
      <c r="C272" s="448"/>
      <c r="D272" s="461"/>
      <c r="E272" s="386"/>
      <c r="F272" s="384"/>
      <c r="G272" s="331"/>
      <c r="H272" s="316"/>
      <c r="I272" s="331"/>
      <c r="J272" s="316"/>
      <c r="K272" s="331"/>
      <c r="L272" s="316"/>
      <c r="M272" s="7"/>
      <c r="N272" s="206"/>
    </row>
    <row r="273" spans="1:14" s="6" customFormat="1" ht="15" customHeight="1" x14ac:dyDescent="0.25">
      <c r="A273" s="33"/>
      <c r="B273" s="429"/>
      <c r="C273" s="317"/>
      <c r="D273" s="316"/>
      <c r="E273" s="331"/>
      <c r="F273" s="316"/>
      <c r="G273" s="331"/>
      <c r="H273" s="316"/>
      <c r="I273" s="331"/>
      <c r="J273" s="316"/>
      <c r="K273" s="331"/>
      <c r="L273" s="316"/>
      <c r="M273" s="7"/>
      <c r="N273" s="206"/>
    </row>
    <row r="274" spans="1:14" s="6" customFormat="1" ht="15" customHeight="1" x14ac:dyDescent="0.25">
      <c r="A274" s="33"/>
      <c r="B274" s="429"/>
      <c r="C274" s="317"/>
      <c r="D274" s="316"/>
      <c r="E274" s="331"/>
      <c r="F274" s="316"/>
      <c r="G274" s="331"/>
      <c r="H274" s="316"/>
      <c r="I274" s="331"/>
      <c r="J274" s="316"/>
      <c r="K274" s="331"/>
      <c r="L274" s="316"/>
      <c r="M274" s="7"/>
      <c r="N274" s="206"/>
    </row>
    <row r="275" spans="1:14" s="6" customFormat="1" ht="15" customHeight="1" x14ac:dyDescent="0.25">
      <c r="A275" s="33"/>
      <c r="B275" s="430"/>
      <c r="C275" s="380"/>
      <c r="D275" s="319"/>
      <c r="E275" s="380"/>
      <c r="F275" s="319"/>
      <c r="G275" s="380"/>
      <c r="H275" s="319"/>
      <c r="I275" s="380"/>
      <c r="J275" s="319"/>
      <c r="K275" s="380"/>
      <c r="L275" s="319"/>
      <c r="M275" s="7"/>
      <c r="N275" s="206"/>
    </row>
    <row r="276" spans="1:14" s="6" customFormat="1" ht="15" customHeight="1" x14ac:dyDescent="0.25">
      <c r="A276" s="33"/>
      <c r="B276" s="41"/>
      <c r="C276" s="207">
        <f>K269+3</f>
        <v>41974</v>
      </c>
      <c r="D276" s="208"/>
      <c r="E276" s="207">
        <f>C276+1</f>
        <v>41975</v>
      </c>
      <c r="F276" s="208"/>
      <c r="G276" s="207">
        <f>E276+1</f>
        <v>41976</v>
      </c>
      <c r="H276" s="208"/>
      <c r="I276" s="207">
        <f>G276+1</f>
        <v>41977</v>
      </c>
      <c r="J276" s="208"/>
      <c r="K276" s="207">
        <f>I276+1</f>
        <v>41978</v>
      </c>
      <c r="L276" s="208"/>
      <c r="M276" s="7"/>
      <c r="N276" s="206"/>
    </row>
    <row r="277" spans="1:14" s="6" customFormat="1" ht="15" customHeight="1" x14ac:dyDescent="0.25">
      <c r="A277" s="33"/>
      <c r="B277" s="42"/>
      <c r="C277" s="440"/>
      <c r="D277" s="456"/>
      <c r="E277" s="331"/>
      <c r="F277" s="316"/>
      <c r="G277" s="331"/>
      <c r="H277" s="316"/>
      <c r="I277" s="331"/>
      <c r="J277" s="316"/>
      <c r="K277" s="331"/>
      <c r="L277" s="316"/>
      <c r="M277" s="7"/>
      <c r="N277" s="206"/>
    </row>
    <row r="278" spans="1:14" s="6" customFormat="1" ht="15" customHeight="1" x14ac:dyDescent="0.25">
      <c r="A278" s="33"/>
      <c r="B278" s="42"/>
      <c r="C278" s="317"/>
      <c r="D278" s="316"/>
      <c r="E278" s="331"/>
      <c r="F278" s="316"/>
      <c r="G278" s="331"/>
      <c r="H278" s="316"/>
      <c r="I278" s="331"/>
      <c r="J278" s="316"/>
      <c r="K278" s="331"/>
      <c r="L278" s="316"/>
      <c r="M278" s="7"/>
      <c r="N278" s="206"/>
    </row>
    <row r="279" spans="1:14" s="6" customFormat="1" ht="15" customHeight="1" x14ac:dyDescent="0.25">
      <c r="A279" s="33"/>
      <c r="B279" s="42"/>
      <c r="C279" s="317"/>
      <c r="D279" s="316"/>
      <c r="E279" s="331"/>
      <c r="F279" s="316"/>
      <c r="G279" s="331"/>
      <c r="H279" s="316"/>
      <c r="I279" s="331"/>
      <c r="J279" s="316"/>
      <c r="K279" s="331"/>
      <c r="L279" s="316"/>
      <c r="M279" s="7"/>
      <c r="N279" s="206"/>
    </row>
    <row r="280" spans="1:14" s="6" customFormat="1" ht="15" customHeight="1" x14ac:dyDescent="0.25">
      <c r="A280" s="33"/>
      <c r="B280" s="42"/>
      <c r="C280" s="317"/>
      <c r="D280" s="316"/>
      <c r="E280" s="331"/>
      <c r="F280" s="316"/>
      <c r="G280" s="331"/>
      <c r="H280" s="316"/>
      <c r="I280" s="331"/>
      <c r="J280" s="316"/>
      <c r="K280" s="331"/>
      <c r="L280" s="316"/>
      <c r="M280" s="7"/>
      <c r="N280" s="206"/>
    </row>
    <row r="281" spans="1:14" s="6" customFormat="1" ht="15" customHeight="1" x14ac:dyDescent="0.25">
      <c r="A281" s="33"/>
      <c r="B281" s="42"/>
      <c r="C281" s="317"/>
      <c r="D281" s="316"/>
      <c r="E281" s="463"/>
      <c r="F281" s="464"/>
      <c r="G281" s="331"/>
      <c r="H281" s="316"/>
      <c r="I281" s="331"/>
      <c r="J281" s="316"/>
      <c r="K281" s="331"/>
      <c r="L281" s="316"/>
      <c r="M281" s="7"/>
      <c r="N281" s="206"/>
    </row>
    <row r="282" spans="1:14" s="6" customFormat="1" ht="15" customHeight="1" x14ac:dyDescent="0.25">
      <c r="A282" s="33"/>
      <c r="B282" s="42"/>
      <c r="C282" s="318"/>
      <c r="D282" s="319"/>
      <c r="E282" s="380"/>
      <c r="F282" s="319"/>
      <c r="G282" s="380"/>
      <c r="H282" s="319"/>
      <c r="I282" s="380"/>
      <c r="J282" s="319"/>
      <c r="K282" s="380"/>
      <c r="L282" s="319"/>
      <c r="M282" s="7"/>
      <c r="N282" s="206"/>
    </row>
    <row r="283" spans="1:14" s="6" customFormat="1" ht="15" customHeight="1" x14ac:dyDescent="0.25">
      <c r="A283" s="33"/>
      <c r="B283" s="42"/>
      <c r="C283" s="207">
        <f>K276+3</f>
        <v>41981</v>
      </c>
      <c r="D283" s="208"/>
      <c r="E283" s="207">
        <f>C283+1</f>
        <v>41982</v>
      </c>
      <c r="F283" s="208"/>
      <c r="G283" s="207">
        <f>E283+1</f>
        <v>41983</v>
      </c>
      <c r="H283" s="208"/>
      <c r="I283" s="207">
        <f>G283+1</f>
        <v>41984</v>
      </c>
      <c r="J283" s="208"/>
      <c r="K283" s="207">
        <f>I283+1</f>
        <v>41985</v>
      </c>
      <c r="L283" s="208"/>
      <c r="M283" s="7"/>
      <c r="N283" s="206"/>
    </row>
    <row r="284" spans="1:14" s="6" customFormat="1" ht="15" customHeight="1" x14ac:dyDescent="0.25">
      <c r="A284" s="33"/>
      <c r="B284" s="42"/>
      <c r="C284" s="317"/>
      <c r="D284" s="316"/>
      <c r="E284" s="331"/>
      <c r="F284" s="316"/>
      <c r="G284" s="331"/>
      <c r="H284" s="316"/>
      <c r="I284" s="331"/>
      <c r="J284" s="316"/>
      <c r="K284" s="331"/>
      <c r="L284" s="316"/>
      <c r="M284" s="7"/>
      <c r="N284" s="206"/>
    </row>
    <row r="285" spans="1:14" s="6" customFormat="1" ht="15" customHeight="1" x14ac:dyDescent="0.25">
      <c r="A285" s="33"/>
      <c r="B285" s="42"/>
      <c r="C285" s="317"/>
      <c r="D285" s="316"/>
      <c r="E285" s="331"/>
      <c r="F285" s="316"/>
      <c r="G285" s="331"/>
      <c r="H285" s="316"/>
      <c r="I285" s="331"/>
      <c r="J285" s="316"/>
      <c r="K285" s="331"/>
      <c r="L285" s="316"/>
      <c r="M285" s="7"/>
      <c r="N285" s="206"/>
    </row>
    <row r="286" spans="1:14" s="6" customFormat="1" ht="15" customHeight="1" x14ac:dyDescent="0.25">
      <c r="A286" s="33"/>
      <c r="B286" s="42"/>
      <c r="C286" s="383"/>
      <c r="D286" s="384"/>
      <c r="E286" s="331"/>
      <c r="F286" s="316"/>
      <c r="G286" s="331"/>
      <c r="H286" s="316"/>
      <c r="I286" s="331"/>
      <c r="J286" s="316"/>
      <c r="K286" s="331"/>
      <c r="L286" s="316"/>
      <c r="M286" s="7"/>
      <c r="N286" s="206"/>
    </row>
    <row r="287" spans="1:14" s="6" customFormat="1" ht="15" customHeight="1" x14ac:dyDescent="0.25">
      <c r="A287" s="33"/>
      <c r="B287" s="42"/>
      <c r="C287" s="317"/>
      <c r="D287" s="316"/>
      <c r="E287" s="331"/>
      <c r="F287" s="316"/>
      <c r="G287" s="331"/>
      <c r="H287" s="316"/>
      <c r="I287" s="331"/>
      <c r="J287" s="316"/>
      <c r="K287" s="331"/>
      <c r="L287" s="316"/>
      <c r="M287" s="7"/>
      <c r="N287" s="206"/>
    </row>
    <row r="288" spans="1:14" s="6" customFormat="1" ht="15" customHeight="1" x14ac:dyDescent="0.25">
      <c r="A288" s="33"/>
      <c r="B288" s="42"/>
      <c r="C288" s="317"/>
      <c r="D288" s="316"/>
      <c r="E288" s="331"/>
      <c r="F288" s="316"/>
      <c r="G288" s="331"/>
      <c r="H288" s="316"/>
      <c r="I288" s="331"/>
      <c r="J288" s="316"/>
      <c r="K288" s="331"/>
      <c r="L288" s="316"/>
      <c r="M288" s="7"/>
      <c r="N288" s="206"/>
    </row>
    <row r="289" spans="1:14" s="6" customFormat="1" ht="15" customHeight="1" x14ac:dyDescent="0.25">
      <c r="A289" s="33"/>
      <c r="B289" s="42"/>
      <c r="C289" s="318"/>
      <c r="D289" s="319"/>
      <c r="E289" s="380"/>
      <c r="F289" s="319"/>
      <c r="G289" s="380"/>
      <c r="H289" s="319"/>
      <c r="I289" s="380"/>
      <c r="J289" s="319"/>
      <c r="K289" s="380"/>
      <c r="L289" s="319"/>
      <c r="M289" s="7"/>
      <c r="N289" s="206"/>
    </row>
    <row r="290" spans="1:14" s="6" customFormat="1" ht="15" customHeight="1" x14ac:dyDescent="0.25">
      <c r="A290" s="33"/>
      <c r="B290" s="42"/>
      <c r="C290" s="207">
        <f>K283+3</f>
        <v>41988</v>
      </c>
      <c r="D290" s="208"/>
      <c r="E290" s="213">
        <f>C290+1</f>
        <v>41989</v>
      </c>
      <c r="F290" s="211"/>
      <c r="G290" s="207">
        <f>E290+1</f>
        <v>41990</v>
      </c>
      <c r="H290" s="208"/>
      <c r="I290" s="207">
        <f>G290+1</f>
        <v>41991</v>
      </c>
      <c r="J290" s="208"/>
      <c r="K290" s="207">
        <f>I290+1</f>
        <v>41992</v>
      </c>
      <c r="L290" s="208"/>
      <c r="M290" s="7"/>
      <c r="N290" s="206"/>
    </row>
    <row r="291" spans="1:14" s="6" customFormat="1" ht="15" customHeight="1" x14ac:dyDescent="0.25">
      <c r="A291" s="33"/>
      <c r="B291" s="42"/>
      <c r="C291" s="317"/>
      <c r="D291" s="316"/>
      <c r="E291" s="331"/>
      <c r="F291" s="316"/>
      <c r="G291" s="331"/>
      <c r="H291" s="316"/>
      <c r="I291" s="331"/>
      <c r="J291" s="316"/>
      <c r="K291" s="331"/>
      <c r="L291" s="316"/>
      <c r="M291" s="7"/>
      <c r="N291" s="206"/>
    </row>
    <row r="292" spans="1:14" s="6" customFormat="1" ht="15" customHeight="1" x14ac:dyDescent="0.25">
      <c r="A292" s="33"/>
      <c r="B292" s="42"/>
      <c r="C292" s="317"/>
      <c r="D292" s="316"/>
      <c r="E292" s="331"/>
      <c r="F292" s="316"/>
      <c r="G292" s="331"/>
      <c r="H292" s="316"/>
      <c r="I292" s="331"/>
      <c r="J292" s="316"/>
      <c r="K292" s="331"/>
      <c r="L292" s="316"/>
      <c r="M292" s="7"/>
      <c r="N292" s="206"/>
    </row>
    <row r="293" spans="1:14" s="6" customFormat="1" ht="15" customHeight="1" x14ac:dyDescent="0.25">
      <c r="A293" s="33"/>
      <c r="B293" s="42"/>
      <c r="C293" s="317"/>
      <c r="D293" s="316"/>
      <c r="E293" s="463"/>
      <c r="F293" s="464"/>
      <c r="G293" s="331"/>
      <c r="H293" s="316"/>
      <c r="I293" s="331"/>
      <c r="J293" s="316"/>
      <c r="K293" s="331"/>
      <c r="L293" s="316"/>
      <c r="M293" s="7"/>
      <c r="N293" s="206"/>
    </row>
    <row r="294" spans="1:14" s="6" customFormat="1" ht="15" customHeight="1" x14ac:dyDescent="0.25">
      <c r="A294" s="33"/>
      <c r="B294" s="42"/>
      <c r="C294" s="317"/>
      <c r="D294" s="316"/>
      <c r="E294" s="331"/>
      <c r="F294" s="316"/>
      <c r="G294" s="331"/>
      <c r="H294" s="316"/>
      <c r="I294" s="331"/>
      <c r="J294" s="316"/>
      <c r="K294" s="331"/>
      <c r="L294" s="316"/>
      <c r="M294" s="7"/>
      <c r="N294" s="206"/>
    </row>
    <row r="295" spans="1:14" s="6" customFormat="1" ht="15" customHeight="1" x14ac:dyDescent="0.25">
      <c r="A295" s="33"/>
      <c r="B295" s="42"/>
      <c r="C295" s="317"/>
      <c r="D295" s="316"/>
      <c r="E295" s="331"/>
      <c r="F295" s="316"/>
      <c r="G295" s="331"/>
      <c r="H295" s="316"/>
      <c r="I295" s="331"/>
      <c r="J295" s="316"/>
      <c r="K295" s="331"/>
      <c r="L295" s="316"/>
      <c r="M295" s="7"/>
      <c r="N295" s="206"/>
    </row>
    <row r="296" spans="1:14" s="6" customFormat="1" ht="15" customHeight="1" x14ac:dyDescent="0.25">
      <c r="A296" s="33"/>
      <c r="B296" s="42"/>
      <c r="C296" s="318"/>
      <c r="D296" s="319"/>
      <c r="E296" s="380"/>
      <c r="F296" s="319"/>
      <c r="G296" s="380"/>
      <c r="H296" s="319"/>
      <c r="I296" s="380"/>
      <c r="J296" s="319"/>
      <c r="K296" s="380"/>
      <c r="L296" s="319"/>
      <c r="M296" s="7"/>
      <c r="N296" s="206"/>
    </row>
    <row r="297" spans="1:14" s="6" customFormat="1" ht="15" customHeight="1" x14ac:dyDescent="0.25">
      <c r="A297" s="33"/>
      <c r="B297" s="42"/>
      <c r="C297" s="207">
        <f>K290+3</f>
        <v>41995</v>
      </c>
      <c r="D297" s="208"/>
      <c r="E297" s="207">
        <f>C297+1</f>
        <v>41996</v>
      </c>
      <c r="F297" s="208"/>
      <c r="G297" s="207">
        <f>E297+1</f>
        <v>41997</v>
      </c>
      <c r="H297" s="208"/>
      <c r="I297" s="207">
        <f>G297+1</f>
        <v>41998</v>
      </c>
      <c r="J297" s="208" t="s">
        <v>147</v>
      </c>
      <c r="K297" s="207">
        <f>I297+1</f>
        <v>41999</v>
      </c>
      <c r="L297" s="208"/>
      <c r="M297" s="7"/>
      <c r="N297" s="206"/>
    </row>
    <row r="298" spans="1:14" s="6" customFormat="1" ht="15" customHeight="1" x14ac:dyDescent="0.25">
      <c r="A298" s="33"/>
      <c r="B298" s="42"/>
      <c r="C298" s="317"/>
      <c r="D298" s="316"/>
      <c r="E298" s="428"/>
      <c r="F298" s="431"/>
      <c r="G298" s="428"/>
      <c r="H298" s="431"/>
      <c r="I298" s="428"/>
      <c r="J298" s="431"/>
      <c r="K298" s="428"/>
      <c r="L298" s="431"/>
      <c r="M298" s="7"/>
      <c r="N298" s="206"/>
    </row>
    <row r="299" spans="1:14" s="6" customFormat="1" ht="15" customHeight="1" x14ac:dyDescent="0.25">
      <c r="A299" s="33"/>
      <c r="B299" s="42"/>
      <c r="C299" s="317"/>
      <c r="D299" s="316"/>
      <c r="E299" s="331"/>
      <c r="F299" s="316"/>
      <c r="G299" s="331"/>
      <c r="H299" s="316"/>
      <c r="I299" s="331"/>
      <c r="J299" s="316"/>
      <c r="K299" s="331"/>
      <c r="L299" s="316"/>
      <c r="M299" s="7"/>
      <c r="N299" s="206"/>
    </row>
    <row r="300" spans="1:14" s="6" customFormat="1" ht="15" customHeight="1" x14ac:dyDescent="0.25">
      <c r="A300" s="33"/>
      <c r="B300" s="42"/>
      <c r="C300" s="317"/>
      <c r="D300" s="316"/>
      <c r="E300" s="331"/>
      <c r="F300" s="316"/>
      <c r="G300" s="331"/>
      <c r="H300" s="316"/>
      <c r="I300" s="428"/>
      <c r="J300" s="431"/>
      <c r="K300" s="428"/>
      <c r="L300" s="431"/>
      <c r="M300" s="7"/>
      <c r="N300" s="206"/>
    </row>
    <row r="301" spans="1:14" s="6" customFormat="1" ht="15" customHeight="1" x14ac:dyDescent="0.25">
      <c r="A301" s="33"/>
      <c r="B301" s="434" t="s">
        <v>58</v>
      </c>
      <c r="C301" s="317"/>
      <c r="D301" s="316"/>
      <c r="E301" s="331"/>
      <c r="F301" s="316"/>
      <c r="G301" s="331"/>
      <c r="H301" s="316"/>
      <c r="I301" s="331"/>
      <c r="J301" s="316"/>
      <c r="K301" s="331"/>
      <c r="L301" s="316"/>
      <c r="M301" s="7"/>
      <c r="N301" s="206"/>
    </row>
    <row r="302" spans="1:14" s="6" customFormat="1" ht="15" customHeight="1" x14ac:dyDescent="0.25">
      <c r="A302" s="33"/>
      <c r="B302" s="434"/>
      <c r="C302" s="317"/>
      <c r="D302" s="316"/>
      <c r="E302" s="331"/>
      <c r="F302" s="316"/>
      <c r="G302" s="331"/>
      <c r="H302" s="316"/>
      <c r="I302" s="331"/>
      <c r="J302" s="316"/>
      <c r="K302" s="331"/>
      <c r="L302" s="316"/>
      <c r="M302" s="7"/>
      <c r="N302" s="206"/>
    </row>
    <row r="303" spans="1:14" s="6" customFormat="1" ht="15" customHeight="1" x14ac:dyDescent="0.25">
      <c r="A303" s="33"/>
      <c r="B303" s="434"/>
      <c r="C303" s="318"/>
      <c r="D303" s="319"/>
      <c r="E303" s="380"/>
      <c r="F303" s="319"/>
      <c r="G303" s="380"/>
      <c r="H303" s="319"/>
      <c r="I303" s="380"/>
      <c r="J303" s="319"/>
      <c r="K303" s="380"/>
      <c r="L303" s="319"/>
      <c r="M303" s="7"/>
      <c r="N303" s="206"/>
    </row>
    <row r="304" spans="1:14" s="6" customFormat="1" ht="15" customHeight="1" x14ac:dyDescent="0.25">
      <c r="A304" s="33"/>
      <c r="B304" s="434"/>
      <c r="C304" s="207">
        <f>K297+3</f>
        <v>42002</v>
      </c>
      <c r="D304" s="208"/>
      <c r="E304" s="207">
        <f>C304+1</f>
        <v>42003</v>
      </c>
      <c r="F304" s="208"/>
      <c r="G304" s="213">
        <f>E304+1</f>
        <v>42004</v>
      </c>
      <c r="H304" s="211" t="s">
        <v>57</v>
      </c>
      <c r="I304" s="207">
        <f>G304+1</f>
        <v>42005</v>
      </c>
      <c r="J304" s="208" t="s">
        <v>148</v>
      </c>
      <c r="K304" s="207">
        <f>I304+1</f>
        <v>42006</v>
      </c>
      <c r="L304" s="208"/>
      <c r="M304" s="7"/>
      <c r="N304" s="206"/>
    </row>
    <row r="305" spans="1:14" s="6" customFormat="1" ht="15" customHeight="1" x14ac:dyDescent="0.25">
      <c r="A305" s="33"/>
      <c r="B305" s="434"/>
      <c r="C305" s="317"/>
      <c r="D305" s="316"/>
      <c r="E305" s="331"/>
      <c r="F305" s="316"/>
      <c r="G305" s="331"/>
      <c r="H305" s="316"/>
      <c r="I305" s="317"/>
      <c r="J305" s="316"/>
      <c r="K305" s="317"/>
      <c r="L305" s="316"/>
      <c r="M305" s="7"/>
      <c r="N305" s="206"/>
    </row>
    <row r="306" spans="1:14" s="6" customFormat="1" ht="15" customHeight="1" x14ac:dyDescent="0.25">
      <c r="A306" s="33"/>
      <c r="B306" s="434"/>
      <c r="C306" s="317"/>
      <c r="D306" s="316"/>
      <c r="E306" s="331"/>
      <c r="F306" s="316"/>
      <c r="G306" s="331"/>
      <c r="H306" s="316"/>
      <c r="I306" s="317"/>
      <c r="J306" s="316"/>
      <c r="K306" s="317"/>
      <c r="L306" s="316"/>
      <c r="M306" s="7"/>
      <c r="N306" s="206"/>
    </row>
    <row r="307" spans="1:14" s="6" customFormat="1" ht="15" customHeight="1" x14ac:dyDescent="0.25">
      <c r="A307" s="33"/>
      <c r="B307" s="434"/>
      <c r="C307" s="465"/>
      <c r="D307" s="466"/>
      <c r="E307" s="386"/>
      <c r="F307" s="384"/>
      <c r="G307" s="331"/>
      <c r="H307" s="316"/>
      <c r="I307" s="317"/>
      <c r="J307" s="316"/>
      <c r="K307" s="317"/>
      <c r="L307" s="316"/>
      <c r="M307" s="7"/>
      <c r="N307" s="206"/>
    </row>
    <row r="308" spans="1:14" s="6" customFormat="1" ht="15" customHeight="1" x14ac:dyDescent="0.25">
      <c r="A308" s="33"/>
      <c r="B308" s="434"/>
      <c r="C308" s="317"/>
      <c r="D308" s="316"/>
      <c r="E308" s="331"/>
      <c r="F308" s="316"/>
      <c r="G308" s="331"/>
      <c r="H308" s="316"/>
      <c r="I308" s="317"/>
      <c r="J308" s="316"/>
      <c r="K308" s="317"/>
      <c r="L308" s="316"/>
      <c r="M308" s="7"/>
      <c r="N308" s="206"/>
    </row>
    <row r="309" spans="1:14" s="6" customFormat="1" ht="15" customHeight="1" x14ac:dyDescent="0.25">
      <c r="A309" s="33"/>
      <c r="B309" s="434"/>
      <c r="C309" s="317"/>
      <c r="D309" s="316"/>
      <c r="E309" s="331"/>
      <c r="F309" s="316"/>
      <c r="G309" s="331"/>
      <c r="H309" s="316"/>
      <c r="I309" s="317"/>
      <c r="J309" s="316"/>
      <c r="K309" s="317"/>
      <c r="L309" s="316"/>
      <c r="M309" s="7"/>
      <c r="N309" s="206"/>
    </row>
    <row r="310" spans="1:14" s="6" customFormat="1" ht="15" customHeight="1" x14ac:dyDescent="0.25">
      <c r="A310" s="33"/>
      <c r="B310" s="434"/>
      <c r="C310" s="380"/>
      <c r="D310" s="319"/>
      <c r="E310" s="380"/>
      <c r="F310" s="319"/>
      <c r="G310" s="380"/>
      <c r="H310" s="319"/>
      <c r="I310" s="318"/>
      <c r="J310" s="319"/>
      <c r="K310" s="318"/>
      <c r="L310" s="319"/>
      <c r="M310" s="7"/>
      <c r="N310" s="206"/>
    </row>
    <row r="311" spans="1:14" s="6" customFormat="1" ht="15" customHeight="1" x14ac:dyDescent="0.25">
      <c r="A311" s="33"/>
      <c r="B311" s="441"/>
      <c r="C311" s="207">
        <f>K304+3</f>
        <v>42009</v>
      </c>
      <c r="D311" s="208"/>
      <c r="E311" s="207">
        <f>C311+1</f>
        <v>42010</v>
      </c>
      <c r="F311" s="208"/>
      <c r="G311" s="207">
        <f>E311+1</f>
        <v>42011</v>
      </c>
      <c r="H311" s="208"/>
      <c r="I311" s="207">
        <f>G311+1</f>
        <v>42012</v>
      </c>
      <c r="J311" s="208"/>
      <c r="K311" s="207">
        <f>I311+1</f>
        <v>42013</v>
      </c>
      <c r="L311" s="208"/>
      <c r="M311" s="7"/>
      <c r="N311" s="206"/>
    </row>
    <row r="312" spans="1:14" s="6" customFormat="1" ht="15" customHeight="1" x14ac:dyDescent="0.25">
      <c r="A312" s="33"/>
      <c r="B312" s="429"/>
      <c r="C312" s="440"/>
      <c r="D312" s="456"/>
      <c r="E312" s="331"/>
      <c r="F312" s="316"/>
      <c r="G312" s="331"/>
      <c r="H312" s="316"/>
      <c r="I312" s="331"/>
      <c r="J312" s="316"/>
      <c r="K312" s="331"/>
      <c r="L312" s="316"/>
      <c r="M312" s="7"/>
      <c r="N312" s="206"/>
    </row>
    <row r="313" spans="1:14" s="6" customFormat="1" ht="15" customHeight="1" x14ac:dyDescent="0.25">
      <c r="A313" s="33"/>
      <c r="B313" s="429"/>
      <c r="C313" s="317"/>
      <c r="D313" s="316"/>
      <c r="E313" s="331"/>
      <c r="F313" s="316"/>
      <c r="G313" s="331"/>
      <c r="H313" s="316"/>
      <c r="I313" s="331"/>
      <c r="J313" s="316"/>
      <c r="K313" s="331"/>
      <c r="L313" s="316"/>
      <c r="M313" s="7"/>
      <c r="N313" s="206"/>
    </row>
    <row r="314" spans="1:14" s="6" customFormat="1" ht="15" customHeight="1" x14ac:dyDescent="0.25">
      <c r="A314" s="33"/>
      <c r="B314" s="429"/>
      <c r="C314" s="383"/>
      <c r="D314" s="384"/>
      <c r="E314" s="331"/>
      <c r="F314" s="316"/>
      <c r="G314" s="386"/>
      <c r="H314" s="316"/>
      <c r="I314" s="331"/>
      <c r="J314" s="316"/>
      <c r="K314" s="331"/>
      <c r="L314" s="316"/>
      <c r="M314" s="7"/>
      <c r="N314" s="206"/>
    </row>
    <row r="315" spans="1:14" s="6" customFormat="1" ht="15" customHeight="1" x14ac:dyDescent="0.25">
      <c r="A315" s="33"/>
      <c r="B315" s="429"/>
      <c r="C315" s="317"/>
      <c r="D315" s="316"/>
      <c r="E315" s="386"/>
      <c r="F315" s="384"/>
      <c r="G315" s="386"/>
      <c r="H315" s="316"/>
      <c r="I315" s="331"/>
      <c r="J315" s="316"/>
      <c r="K315" s="331"/>
      <c r="L315" s="316"/>
      <c r="M315" s="7"/>
      <c r="N315" s="206"/>
    </row>
    <row r="316" spans="1:14" s="6" customFormat="1" ht="15" customHeight="1" x14ac:dyDescent="0.25">
      <c r="A316" s="33"/>
      <c r="B316" s="429"/>
      <c r="C316" s="317"/>
      <c r="D316" s="316"/>
      <c r="E316" s="331"/>
      <c r="F316" s="316"/>
      <c r="G316" s="331"/>
      <c r="H316" s="316"/>
      <c r="I316" s="331"/>
      <c r="J316" s="316"/>
      <c r="K316" s="331"/>
      <c r="L316" s="316"/>
      <c r="M316" s="7"/>
      <c r="N316" s="206"/>
    </row>
    <row r="317" spans="1:14" s="6" customFormat="1" ht="15" customHeight="1" x14ac:dyDescent="0.25">
      <c r="A317" s="33"/>
      <c r="B317" s="429"/>
      <c r="C317" s="318"/>
      <c r="D317" s="319"/>
      <c r="E317" s="380"/>
      <c r="F317" s="319"/>
      <c r="G317" s="380"/>
      <c r="H317" s="319"/>
      <c r="I317" s="380"/>
      <c r="J317" s="319"/>
      <c r="K317" s="380"/>
      <c r="L317" s="319"/>
      <c r="M317" s="7"/>
      <c r="N317" s="206"/>
    </row>
    <row r="318" spans="1:14" s="6" customFormat="1" ht="15" customHeight="1" x14ac:dyDescent="0.25">
      <c r="A318" s="33"/>
      <c r="B318" s="429"/>
      <c r="C318" s="207">
        <f>K311+3</f>
        <v>42016</v>
      </c>
      <c r="D318" s="208"/>
      <c r="E318" s="207">
        <f>C318+1</f>
        <v>42017</v>
      </c>
      <c r="F318" s="208"/>
      <c r="G318" s="207">
        <f>E318+1</f>
        <v>42018</v>
      </c>
      <c r="H318" s="208"/>
      <c r="I318" s="207">
        <f>G318+1</f>
        <v>42019</v>
      </c>
      <c r="J318" s="208"/>
      <c r="K318" s="207">
        <f>I318+1</f>
        <v>42020</v>
      </c>
      <c r="L318" s="208"/>
      <c r="M318" s="7"/>
      <c r="N318" s="206"/>
    </row>
    <row r="319" spans="1:14" s="6" customFormat="1" ht="15" customHeight="1" x14ac:dyDescent="0.25">
      <c r="A319" s="33"/>
      <c r="B319" s="429"/>
      <c r="C319" s="317"/>
      <c r="D319" s="316"/>
      <c r="E319" s="331"/>
      <c r="F319" s="316"/>
      <c r="G319" s="331"/>
      <c r="H319" s="316"/>
      <c r="I319" s="331"/>
      <c r="J319" s="316"/>
      <c r="K319" s="331"/>
      <c r="L319" s="316"/>
      <c r="M319" s="7"/>
      <c r="N319" s="206"/>
    </row>
    <row r="320" spans="1:14" s="6" customFormat="1" ht="15" customHeight="1" x14ac:dyDescent="0.25">
      <c r="A320" s="33"/>
      <c r="B320" s="429"/>
      <c r="C320" s="317"/>
      <c r="D320" s="316"/>
      <c r="E320" s="529"/>
      <c r="F320" s="467"/>
      <c r="G320" s="331"/>
      <c r="H320" s="316"/>
      <c r="I320" s="331"/>
      <c r="J320" s="316"/>
      <c r="K320" s="331"/>
      <c r="L320" s="316"/>
      <c r="M320" s="7"/>
      <c r="N320" s="206"/>
    </row>
    <row r="321" spans="1:14" s="6" customFormat="1" ht="15" customHeight="1" x14ac:dyDescent="0.25">
      <c r="A321" s="33"/>
      <c r="B321" s="429"/>
      <c r="C321" s="383"/>
      <c r="D321" s="384"/>
      <c r="E321" s="386"/>
      <c r="F321" s="384"/>
      <c r="G321" s="331"/>
      <c r="H321" s="316"/>
      <c r="I321" s="331"/>
      <c r="J321" s="316"/>
      <c r="K321" s="331"/>
      <c r="L321" s="316"/>
      <c r="M321" s="7"/>
      <c r="N321" s="206"/>
    </row>
    <row r="322" spans="1:14" s="6" customFormat="1" ht="15" customHeight="1" x14ac:dyDescent="0.25">
      <c r="A322" s="33"/>
      <c r="B322" s="429"/>
      <c r="C322" s="317"/>
      <c r="D322" s="316"/>
      <c r="E322" s="331"/>
      <c r="F322" s="316"/>
      <c r="G322" s="331"/>
      <c r="H322" s="316"/>
      <c r="I322" s="331"/>
      <c r="J322" s="316"/>
      <c r="K322" s="331"/>
      <c r="L322" s="316"/>
      <c r="M322" s="7"/>
      <c r="N322" s="206"/>
    </row>
    <row r="323" spans="1:14" s="6" customFormat="1" ht="15" customHeight="1" x14ac:dyDescent="0.25">
      <c r="A323" s="33"/>
      <c r="B323" s="429"/>
      <c r="C323" s="317"/>
      <c r="D323" s="316"/>
      <c r="E323" s="331"/>
      <c r="F323" s="316"/>
      <c r="G323" s="331"/>
      <c r="H323" s="316"/>
      <c r="I323" s="331"/>
      <c r="J323" s="316"/>
      <c r="K323" s="331"/>
      <c r="L323" s="316"/>
      <c r="M323" s="7"/>
      <c r="N323" s="206"/>
    </row>
    <row r="324" spans="1:14" s="6" customFormat="1" ht="15" customHeight="1" x14ac:dyDescent="0.25">
      <c r="A324" s="33"/>
      <c r="B324" s="429"/>
      <c r="C324" s="318"/>
      <c r="D324" s="319"/>
      <c r="E324" s="380"/>
      <c r="F324" s="319"/>
      <c r="G324" s="380"/>
      <c r="H324" s="319"/>
      <c r="I324" s="380"/>
      <c r="J324" s="319"/>
      <c r="K324" s="380"/>
      <c r="L324" s="319"/>
      <c r="M324" s="7"/>
      <c r="N324" s="206"/>
    </row>
    <row r="325" spans="1:14" s="6" customFormat="1" ht="15" customHeight="1" x14ac:dyDescent="0.25">
      <c r="A325" s="33"/>
      <c r="B325" s="40"/>
      <c r="C325" s="207">
        <f>K318+3</f>
        <v>42023</v>
      </c>
      <c r="D325" s="208" t="s">
        <v>56</v>
      </c>
      <c r="E325" s="213">
        <f>C325+1</f>
        <v>42024</v>
      </c>
      <c r="F325" s="211"/>
      <c r="G325" s="207">
        <f>E325+1</f>
        <v>42025</v>
      </c>
      <c r="H325" s="208"/>
      <c r="I325" s="207">
        <f>G325+1</f>
        <v>42026</v>
      </c>
      <c r="J325" s="208"/>
      <c r="K325" s="207">
        <f>I325+1</f>
        <v>42027</v>
      </c>
      <c r="L325" s="208"/>
      <c r="M325" s="7"/>
      <c r="N325" s="206"/>
    </row>
    <row r="326" spans="1:14" s="6" customFormat="1" ht="15" customHeight="1" x14ac:dyDescent="0.25">
      <c r="A326" s="33"/>
      <c r="B326" s="40"/>
      <c r="C326" s="317"/>
      <c r="D326" s="316"/>
      <c r="E326" s="331"/>
      <c r="F326" s="316"/>
      <c r="G326" s="331"/>
      <c r="H326" s="316"/>
      <c r="I326" s="331"/>
      <c r="J326" s="316"/>
      <c r="K326" s="331"/>
      <c r="L326" s="316"/>
      <c r="M326" s="7"/>
      <c r="N326" s="206"/>
    </row>
    <row r="327" spans="1:14" s="6" customFormat="1" ht="15" customHeight="1" x14ac:dyDescent="0.25">
      <c r="A327" s="33"/>
      <c r="B327" s="40"/>
      <c r="C327" s="317"/>
      <c r="D327" s="316"/>
      <c r="E327" s="331"/>
      <c r="F327" s="316"/>
      <c r="G327" s="386"/>
      <c r="H327" s="316"/>
      <c r="I327" s="331"/>
      <c r="J327" s="316"/>
      <c r="K327" s="331"/>
      <c r="L327" s="316"/>
      <c r="M327" s="7"/>
      <c r="N327" s="206"/>
    </row>
    <row r="328" spans="1:14" s="6" customFormat="1" ht="15" customHeight="1" x14ac:dyDescent="0.25">
      <c r="A328" s="33"/>
      <c r="B328" s="40"/>
      <c r="C328" s="317"/>
      <c r="D328" s="316"/>
      <c r="E328" s="331"/>
      <c r="F328" s="316"/>
      <c r="G328" s="331"/>
      <c r="H328" s="316"/>
      <c r="I328" s="331"/>
      <c r="J328" s="316"/>
      <c r="K328" s="331"/>
      <c r="L328" s="316"/>
      <c r="M328" s="7"/>
      <c r="N328" s="206"/>
    </row>
    <row r="329" spans="1:14" s="6" customFormat="1" ht="15" customHeight="1" x14ac:dyDescent="0.25">
      <c r="A329" s="33"/>
      <c r="B329" s="429" t="s">
        <v>55</v>
      </c>
      <c r="C329" s="317"/>
      <c r="D329" s="316"/>
      <c r="E329" s="386"/>
      <c r="F329" s="384"/>
      <c r="G329" s="331"/>
      <c r="H329" s="316"/>
      <c r="I329" s="331"/>
      <c r="J329" s="316"/>
      <c r="K329" s="331"/>
      <c r="L329" s="316"/>
      <c r="M329" s="7"/>
      <c r="N329" s="206"/>
    </row>
    <row r="330" spans="1:14" s="6" customFormat="1" ht="15" customHeight="1" x14ac:dyDescent="0.25">
      <c r="A330" s="33"/>
      <c r="B330" s="429"/>
      <c r="C330" s="317"/>
      <c r="D330" s="316"/>
      <c r="E330" s="331"/>
      <c r="F330" s="316"/>
      <c r="G330" s="386"/>
      <c r="H330" s="316"/>
      <c r="I330" s="331"/>
      <c r="J330" s="316"/>
      <c r="K330" s="331"/>
      <c r="L330" s="316"/>
      <c r="M330" s="7"/>
      <c r="N330" s="206"/>
    </row>
    <row r="331" spans="1:14" s="6" customFormat="1" ht="15" customHeight="1" x14ac:dyDescent="0.25">
      <c r="A331" s="33"/>
      <c r="B331" s="429"/>
      <c r="C331" s="318"/>
      <c r="D331" s="319"/>
      <c r="E331" s="380"/>
      <c r="F331" s="319"/>
      <c r="G331" s="380"/>
      <c r="H331" s="319"/>
      <c r="I331" s="380"/>
      <c r="J331" s="319"/>
      <c r="K331" s="380"/>
      <c r="L331" s="319"/>
      <c r="M331" s="7"/>
      <c r="N331" s="206"/>
    </row>
    <row r="332" spans="1:14" s="6" customFormat="1" ht="15" customHeight="1" x14ac:dyDescent="0.25">
      <c r="A332" s="33"/>
      <c r="B332" s="429"/>
      <c r="C332" s="207">
        <f>K325+3</f>
        <v>42030</v>
      </c>
      <c r="D332" s="208"/>
      <c r="E332" s="207">
        <f>C332+1</f>
        <v>42031</v>
      </c>
      <c r="F332" s="208"/>
      <c r="G332" s="207">
        <f>E332+1</f>
        <v>42032</v>
      </c>
      <c r="H332" s="208"/>
      <c r="I332" s="207">
        <f>G332+1</f>
        <v>42033</v>
      </c>
      <c r="J332" s="208"/>
      <c r="K332" s="207">
        <f>I332+1</f>
        <v>42034</v>
      </c>
      <c r="L332" s="208"/>
      <c r="M332" s="7"/>
      <c r="N332" s="206"/>
    </row>
    <row r="333" spans="1:14" s="6" customFormat="1" ht="15" customHeight="1" x14ac:dyDescent="0.25">
      <c r="A333" s="33"/>
      <c r="B333" s="429"/>
      <c r="C333" s="317"/>
      <c r="D333" s="316"/>
      <c r="E333" s="331"/>
      <c r="F333" s="316"/>
      <c r="G333" s="428"/>
      <c r="H333" s="431"/>
      <c r="I333" s="428"/>
      <c r="J333" s="431"/>
      <c r="K333" s="428"/>
      <c r="L333" s="431"/>
      <c r="M333" s="7"/>
      <c r="N333" s="206"/>
    </row>
    <row r="334" spans="1:14" s="6" customFormat="1" ht="15" customHeight="1" x14ac:dyDescent="0.25">
      <c r="A334" s="33"/>
      <c r="B334" s="429"/>
      <c r="C334" s="317"/>
      <c r="D334" s="316"/>
      <c r="E334" s="331"/>
      <c r="F334" s="316"/>
      <c r="G334" s="331"/>
      <c r="H334" s="316"/>
      <c r="I334" s="331"/>
      <c r="J334" s="316"/>
      <c r="K334" s="331"/>
      <c r="L334" s="316"/>
      <c r="M334" s="7"/>
      <c r="N334" s="206"/>
    </row>
    <row r="335" spans="1:14" s="6" customFormat="1" ht="15" customHeight="1" x14ac:dyDescent="0.25">
      <c r="A335" s="33"/>
      <c r="B335" s="429"/>
      <c r="C335" s="383"/>
      <c r="D335" s="384"/>
      <c r="E335" s="331"/>
      <c r="F335" s="316"/>
      <c r="G335" s="331"/>
      <c r="H335" s="316"/>
      <c r="I335" s="428"/>
      <c r="J335" s="431"/>
      <c r="K335" s="428"/>
      <c r="L335" s="431"/>
      <c r="M335" s="7"/>
      <c r="N335" s="206"/>
    </row>
    <row r="336" spans="1:14" s="6" customFormat="1" ht="15" customHeight="1" x14ac:dyDescent="0.25">
      <c r="A336" s="33"/>
      <c r="B336" s="429"/>
      <c r="C336" s="317"/>
      <c r="D336" s="316"/>
      <c r="E336" s="331"/>
      <c r="F336" s="316"/>
      <c r="G336" s="331"/>
      <c r="H336" s="316"/>
      <c r="I336" s="331"/>
      <c r="J336" s="316"/>
      <c r="K336" s="331"/>
      <c r="L336" s="316"/>
      <c r="M336" s="7"/>
      <c r="N336" s="206"/>
    </row>
    <row r="337" spans="1:14" s="6" customFormat="1" ht="15" customHeight="1" x14ac:dyDescent="0.25">
      <c r="A337" s="33"/>
      <c r="B337" s="429"/>
      <c r="C337" s="317"/>
      <c r="D337" s="316"/>
      <c r="E337" s="331"/>
      <c r="F337" s="316"/>
      <c r="G337" s="331"/>
      <c r="H337" s="316"/>
      <c r="I337" s="331"/>
      <c r="J337" s="316"/>
      <c r="K337" s="331"/>
      <c r="L337" s="316"/>
      <c r="M337" s="7"/>
      <c r="N337" s="206"/>
    </row>
    <row r="338" spans="1:14" s="6" customFormat="1" ht="15" customHeight="1" x14ac:dyDescent="0.25">
      <c r="A338" s="33"/>
      <c r="B338" s="430"/>
      <c r="C338" s="380"/>
      <c r="D338" s="319"/>
      <c r="E338" s="380"/>
      <c r="F338" s="319"/>
      <c r="G338" s="381"/>
      <c r="H338" s="382"/>
      <c r="I338" s="380"/>
      <c r="J338" s="319"/>
      <c r="K338" s="380"/>
      <c r="L338" s="319"/>
      <c r="M338" s="7"/>
      <c r="N338" s="206"/>
    </row>
    <row r="339" spans="1:14" s="6" customFormat="1" ht="15" customHeight="1" x14ac:dyDescent="0.25">
      <c r="A339" s="33"/>
      <c r="B339" s="41"/>
      <c r="C339" s="207">
        <f>K332+3</f>
        <v>42037</v>
      </c>
      <c r="D339" s="208"/>
      <c r="E339" s="207">
        <f>C339+1</f>
        <v>42038</v>
      </c>
      <c r="F339" s="208"/>
      <c r="G339" s="207">
        <f>E339+1</f>
        <v>42039</v>
      </c>
      <c r="H339" s="208"/>
      <c r="I339" s="207">
        <f>G339+1</f>
        <v>42040</v>
      </c>
      <c r="J339" s="208"/>
      <c r="K339" s="207">
        <f>I339+1</f>
        <v>42041</v>
      </c>
      <c r="L339" s="208"/>
      <c r="M339" s="7"/>
      <c r="N339" s="206"/>
    </row>
    <row r="340" spans="1:14" s="6" customFormat="1" ht="15" customHeight="1" x14ac:dyDescent="0.25">
      <c r="A340" s="33"/>
      <c r="B340" s="42"/>
      <c r="C340" s="440"/>
      <c r="D340" s="456"/>
      <c r="E340" s="331"/>
      <c r="F340" s="316"/>
      <c r="G340" s="331"/>
      <c r="H340" s="316"/>
      <c r="I340" s="331"/>
      <c r="J340" s="316"/>
      <c r="K340" s="331"/>
      <c r="L340" s="316"/>
      <c r="M340" s="7"/>
      <c r="N340" s="206"/>
    </row>
    <row r="341" spans="1:14" s="6" customFormat="1" ht="15" customHeight="1" x14ac:dyDescent="0.25">
      <c r="A341" s="33"/>
      <c r="B341" s="42"/>
      <c r="C341" s="317"/>
      <c r="D341" s="316"/>
      <c r="E341" s="331"/>
      <c r="F341" s="316"/>
      <c r="G341" s="331"/>
      <c r="H341" s="316"/>
      <c r="I341" s="331"/>
      <c r="J341" s="316"/>
      <c r="K341" s="331"/>
      <c r="L341" s="316"/>
      <c r="M341" s="7"/>
      <c r="N341" s="206"/>
    </row>
    <row r="342" spans="1:14" s="6" customFormat="1" ht="15" customHeight="1" x14ac:dyDescent="0.25">
      <c r="A342" s="33"/>
      <c r="B342" s="42"/>
      <c r="C342" s="465"/>
      <c r="D342" s="466"/>
      <c r="E342" s="331"/>
      <c r="F342" s="316"/>
      <c r="G342" s="331"/>
      <c r="H342" s="316"/>
      <c r="I342" s="331"/>
      <c r="J342" s="316"/>
      <c r="K342" s="331"/>
      <c r="L342" s="316"/>
      <c r="M342" s="7"/>
      <c r="N342" s="206"/>
    </row>
    <row r="343" spans="1:14" s="6" customFormat="1" ht="15" customHeight="1" x14ac:dyDescent="0.25">
      <c r="A343" s="33"/>
      <c r="B343" s="42"/>
      <c r="C343" s="317"/>
      <c r="D343" s="316"/>
      <c r="E343" s="331"/>
      <c r="F343" s="316"/>
      <c r="G343" s="386"/>
      <c r="H343" s="316"/>
      <c r="I343" s="331"/>
      <c r="J343" s="316"/>
      <c r="K343" s="331"/>
      <c r="L343" s="316"/>
      <c r="M343" s="7"/>
      <c r="N343" s="206"/>
    </row>
    <row r="344" spans="1:14" s="6" customFormat="1" ht="15" customHeight="1" x14ac:dyDescent="0.25">
      <c r="A344" s="33"/>
      <c r="B344" s="42"/>
      <c r="C344" s="317"/>
      <c r="D344" s="316"/>
      <c r="E344" s="331"/>
      <c r="F344" s="316"/>
      <c r="G344" s="331"/>
      <c r="H344" s="316"/>
      <c r="I344" s="331"/>
      <c r="J344" s="316"/>
      <c r="K344" s="331"/>
      <c r="L344" s="316"/>
      <c r="M344" s="7"/>
      <c r="N344" s="206"/>
    </row>
    <row r="345" spans="1:14" s="6" customFormat="1" ht="15" customHeight="1" x14ac:dyDescent="0.25">
      <c r="A345" s="33"/>
      <c r="B345" s="42"/>
      <c r="C345" s="318"/>
      <c r="D345" s="319"/>
      <c r="E345" s="380"/>
      <c r="F345" s="319"/>
      <c r="G345" s="381"/>
      <c r="H345" s="382"/>
      <c r="I345" s="380"/>
      <c r="J345" s="319"/>
      <c r="K345" s="380"/>
      <c r="L345" s="319"/>
      <c r="M345" s="7"/>
      <c r="N345" s="206"/>
    </row>
    <row r="346" spans="1:14" s="6" customFormat="1" ht="15" customHeight="1" x14ac:dyDescent="0.25">
      <c r="A346" s="33"/>
      <c r="B346" s="42"/>
      <c r="C346" s="207">
        <f>K339+3</f>
        <v>42044</v>
      </c>
      <c r="D346" s="208"/>
      <c r="E346" s="207">
        <f>C346+1</f>
        <v>42045</v>
      </c>
      <c r="F346" s="208"/>
      <c r="G346" s="207">
        <f>E346+1</f>
        <v>42046</v>
      </c>
      <c r="H346" s="208"/>
      <c r="I346" s="207">
        <f>G346+1</f>
        <v>42047</v>
      </c>
      <c r="J346" s="208"/>
      <c r="K346" s="207">
        <f>I346+1</f>
        <v>42048</v>
      </c>
      <c r="L346" s="208" t="s">
        <v>54</v>
      </c>
      <c r="M346" s="7"/>
      <c r="N346" s="206"/>
    </row>
    <row r="347" spans="1:14" s="6" customFormat="1" ht="15" customHeight="1" x14ac:dyDescent="0.25">
      <c r="A347" s="33"/>
      <c r="B347" s="42"/>
      <c r="C347" s="383"/>
      <c r="D347" s="316"/>
      <c r="E347" s="331"/>
      <c r="F347" s="316"/>
      <c r="G347" s="331"/>
      <c r="H347" s="316"/>
      <c r="I347" s="331"/>
      <c r="J347" s="316"/>
      <c r="K347" s="331"/>
      <c r="L347" s="316"/>
      <c r="M347" s="7"/>
      <c r="N347" s="206"/>
    </row>
    <row r="348" spans="1:14" s="6" customFormat="1" ht="15" customHeight="1" x14ac:dyDescent="0.25">
      <c r="A348" s="33"/>
      <c r="B348" s="42"/>
      <c r="C348" s="383"/>
      <c r="D348" s="316"/>
      <c r="E348" s="331"/>
      <c r="F348" s="316"/>
      <c r="G348" s="386"/>
      <c r="H348" s="316"/>
      <c r="I348" s="331"/>
      <c r="J348" s="316"/>
      <c r="K348" s="331"/>
      <c r="L348" s="316"/>
      <c r="M348" s="7"/>
      <c r="N348" s="206"/>
    </row>
    <row r="349" spans="1:14" s="6" customFormat="1" ht="15" customHeight="1" x14ac:dyDescent="0.25">
      <c r="A349" s="33"/>
      <c r="B349" s="42"/>
      <c r="C349" s="383"/>
      <c r="D349" s="384"/>
      <c r="E349" s="331"/>
      <c r="F349" s="316"/>
      <c r="G349" s="331"/>
      <c r="H349" s="316"/>
      <c r="I349" s="331"/>
      <c r="J349" s="316"/>
      <c r="K349" s="331"/>
      <c r="L349" s="316"/>
      <c r="M349" s="7"/>
      <c r="N349" s="206"/>
    </row>
    <row r="350" spans="1:14" s="6" customFormat="1" ht="15" customHeight="1" x14ac:dyDescent="0.25">
      <c r="A350" s="33"/>
      <c r="B350" s="42"/>
      <c r="C350" s="317"/>
      <c r="D350" s="316"/>
      <c r="E350" s="386"/>
      <c r="F350" s="384"/>
      <c r="G350" s="331"/>
      <c r="H350" s="316"/>
      <c r="I350" s="331"/>
      <c r="J350" s="316"/>
      <c r="K350" s="331"/>
      <c r="L350" s="316"/>
      <c r="M350" s="7"/>
      <c r="N350" s="206"/>
    </row>
    <row r="351" spans="1:14" s="6" customFormat="1" ht="15" customHeight="1" x14ac:dyDescent="0.25">
      <c r="A351" s="33"/>
      <c r="B351" s="42"/>
      <c r="C351" s="317"/>
      <c r="D351" s="316"/>
      <c r="E351" s="331"/>
      <c r="F351" s="316"/>
      <c r="G351" s="331"/>
      <c r="H351" s="316"/>
      <c r="I351" s="331"/>
      <c r="J351" s="316"/>
      <c r="K351" s="331"/>
      <c r="L351" s="316"/>
      <c r="M351" s="7"/>
      <c r="N351" s="206"/>
    </row>
    <row r="352" spans="1:14" s="6" customFormat="1" ht="15" customHeight="1" x14ac:dyDescent="0.25">
      <c r="A352" s="33"/>
      <c r="B352" s="42"/>
      <c r="C352" s="318"/>
      <c r="D352" s="319"/>
      <c r="E352" s="380"/>
      <c r="F352" s="319"/>
      <c r="G352" s="380"/>
      <c r="H352" s="319"/>
      <c r="I352" s="380"/>
      <c r="J352" s="319"/>
      <c r="K352" s="380"/>
      <c r="L352" s="319"/>
      <c r="M352" s="7"/>
      <c r="N352" s="206"/>
    </row>
    <row r="353" spans="1:14" s="6" customFormat="1" ht="15" customHeight="1" x14ac:dyDescent="0.25">
      <c r="A353" s="33"/>
      <c r="B353" s="42"/>
      <c r="C353" s="207">
        <f>K346+3</f>
        <v>42051</v>
      </c>
      <c r="D353" s="208" t="s">
        <v>53</v>
      </c>
      <c r="E353" s="213">
        <f>C353+1</f>
        <v>42052</v>
      </c>
      <c r="F353" s="211"/>
      <c r="G353" s="207">
        <f>E353+1</f>
        <v>42053</v>
      </c>
      <c r="H353" s="208"/>
      <c r="I353" s="207">
        <f>G353+1</f>
        <v>42054</v>
      </c>
      <c r="J353" s="208"/>
      <c r="K353" s="207">
        <f>I353+1</f>
        <v>42055</v>
      </c>
      <c r="L353" s="208"/>
      <c r="M353" s="7"/>
      <c r="N353" s="206"/>
    </row>
    <row r="354" spans="1:14" s="6" customFormat="1" ht="15" customHeight="1" x14ac:dyDescent="0.25">
      <c r="A354" s="33"/>
      <c r="B354" s="42"/>
      <c r="C354" s="317"/>
      <c r="D354" s="316"/>
      <c r="E354" s="331"/>
      <c r="F354" s="316"/>
      <c r="G354" s="331"/>
      <c r="H354" s="316"/>
      <c r="I354" s="331"/>
      <c r="J354" s="316"/>
      <c r="K354" s="331"/>
      <c r="L354" s="316"/>
      <c r="M354" s="7"/>
      <c r="N354" s="206"/>
    </row>
    <row r="355" spans="1:14" s="6" customFormat="1" ht="15" customHeight="1" x14ac:dyDescent="0.25">
      <c r="A355" s="33"/>
      <c r="B355" s="42"/>
      <c r="C355" s="317"/>
      <c r="D355" s="316"/>
      <c r="E355" s="331"/>
      <c r="F355" s="316"/>
      <c r="G355" s="331"/>
      <c r="H355" s="316"/>
      <c r="I355" s="331"/>
      <c r="J355" s="316"/>
      <c r="K355" s="331"/>
      <c r="L355" s="316"/>
      <c r="M355" s="7"/>
      <c r="N355" s="206"/>
    </row>
    <row r="356" spans="1:14" s="6" customFormat="1" ht="15" customHeight="1" x14ac:dyDescent="0.25">
      <c r="A356" s="33"/>
      <c r="B356" s="42"/>
      <c r="C356" s="317"/>
      <c r="D356" s="316"/>
      <c r="E356" s="331"/>
      <c r="F356" s="316"/>
      <c r="G356" s="331"/>
      <c r="H356" s="316"/>
      <c r="I356" s="331"/>
      <c r="J356" s="316"/>
      <c r="K356" s="331"/>
      <c r="L356" s="316"/>
      <c r="M356" s="7"/>
      <c r="N356" s="206"/>
    </row>
    <row r="357" spans="1:14" s="6" customFormat="1" ht="15" customHeight="1" x14ac:dyDescent="0.25">
      <c r="A357" s="33"/>
      <c r="B357" s="434" t="s">
        <v>52</v>
      </c>
      <c r="C357" s="317"/>
      <c r="D357" s="316"/>
      <c r="E357" s="331"/>
      <c r="F357" s="316"/>
      <c r="G357" s="331"/>
      <c r="H357" s="316"/>
      <c r="I357" s="386"/>
      <c r="J357" s="316"/>
      <c r="K357" s="386"/>
      <c r="L357" s="316"/>
      <c r="M357" s="7"/>
      <c r="N357" s="206"/>
    </row>
    <row r="358" spans="1:14" s="6" customFormat="1" ht="15" customHeight="1" x14ac:dyDescent="0.25">
      <c r="A358" s="33"/>
      <c r="B358" s="434"/>
      <c r="C358" s="317"/>
      <c r="D358" s="316"/>
      <c r="E358" s="331"/>
      <c r="F358" s="316"/>
      <c r="G358" s="331"/>
      <c r="H358" s="316"/>
      <c r="I358" s="331"/>
      <c r="J358" s="316"/>
      <c r="K358" s="331"/>
      <c r="L358" s="316"/>
      <c r="M358" s="7"/>
      <c r="N358" s="206"/>
    </row>
    <row r="359" spans="1:14" s="6" customFormat="1" ht="15" customHeight="1" x14ac:dyDescent="0.25">
      <c r="A359" s="33"/>
      <c r="B359" s="434"/>
      <c r="C359" s="318"/>
      <c r="D359" s="319"/>
      <c r="E359" s="380"/>
      <c r="F359" s="319"/>
      <c r="G359" s="381"/>
      <c r="H359" s="382"/>
      <c r="I359" s="380"/>
      <c r="J359" s="319"/>
      <c r="K359" s="380"/>
      <c r="L359" s="319"/>
      <c r="M359" s="7"/>
      <c r="N359" s="206"/>
    </row>
    <row r="360" spans="1:14" s="6" customFormat="1" ht="15" customHeight="1" x14ac:dyDescent="0.25">
      <c r="A360" s="33"/>
      <c r="B360" s="434"/>
      <c r="C360" s="207">
        <f>K353+3</f>
        <v>42058</v>
      </c>
      <c r="D360" s="208"/>
      <c r="E360" s="207">
        <f>C360+1</f>
        <v>42059</v>
      </c>
      <c r="F360" s="208"/>
      <c r="G360" s="207">
        <f>E360+1</f>
        <v>42060</v>
      </c>
      <c r="H360" s="208"/>
      <c r="I360" s="207">
        <f>G360+1</f>
        <v>42061</v>
      </c>
      <c r="J360" s="208"/>
      <c r="K360" s="207">
        <f>I360+1</f>
        <v>42062</v>
      </c>
      <c r="L360" s="208"/>
      <c r="M360" s="7"/>
      <c r="N360" s="206"/>
    </row>
    <row r="361" spans="1:14" s="6" customFormat="1" ht="15" customHeight="1" x14ac:dyDescent="0.25">
      <c r="A361" s="33"/>
      <c r="B361" s="434"/>
      <c r="C361" s="317"/>
      <c r="D361" s="316"/>
      <c r="E361" s="331"/>
      <c r="F361" s="316"/>
      <c r="G361" s="331"/>
      <c r="H361" s="316"/>
      <c r="I361" s="331"/>
      <c r="J361" s="316"/>
      <c r="K361" s="331"/>
      <c r="L361" s="316"/>
      <c r="M361" s="7"/>
      <c r="N361" s="206"/>
    </row>
    <row r="362" spans="1:14" s="6" customFormat="1" ht="15" customHeight="1" x14ac:dyDescent="0.25">
      <c r="A362" s="33"/>
      <c r="B362" s="434"/>
      <c r="C362" s="317"/>
      <c r="D362" s="316"/>
      <c r="E362" s="331"/>
      <c r="F362" s="316"/>
      <c r="G362" s="331"/>
      <c r="H362" s="316"/>
      <c r="I362" s="331"/>
      <c r="J362" s="316"/>
      <c r="K362" s="331"/>
      <c r="L362" s="316"/>
      <c r="M362" s="7"/>
      <c r="N362" s="206"/>
    </row>
    <row r="363" spans="1:14" s="6" customFormat="1" ht="15" customHeight="1" x14ac:dyDescent="0.25">
      <c r="A363" s="34"/>
      <c r="B363" s="434"/>
      <c r="C363" s="317"/>
      <c r="D363" s="316"/>
      <c r="E363" s="331"/>
      <c r="F363" s="316"/>
      <c r="G363" s="331"/>
      <c r="H363" s="316"/>
      <c r="I363" s="331"/>
      <c r="J363" s="316"/>
      <c r="K363" s="331"/>
      <c r="L363" s="316"/>
      <c r="M363" s="7"/>
      <c r="N363" s="206"/>
    </row>
    <row r="364" spans="1:14" s="6" customFormat="1" ht="15" customHeight="1" x14ac:dyDescent="0.25">
      <c r="A364" s="33"/>
      <c r="B364" s="434"/>
      <c r="C364" s="317"/>
      <c r="D364" s="316"/>
      <c r="E364" s="331"/>
      <c r="F364" s="316"/>
      <c r="G364" s="331"/>
      <c r="H364" s="316"/>
      <c r="I364" s="331"/>
      <c r="J364" s="316"/>
      <c r="K364" s="331"/>
      <c r="L364" s="316"/>
      <c r="M364" s="7"/>
      <c r="N364" s="206"/>
    </row>
    <row r="365" spans="1:14" s="6" customFormat="1" ht="15" customHeight="1" x14ac:dyDescent="0.25">
      <c r="A365" s="33"/>
      <c r="B365" s="434"/>
      <c r="C365" s="317"/>
      <c r="D365" s="316"/>
      <c r="E365" s="331"/>
      <c r="F365" s="316"/>
      <c r="G365" s="331"/>
      <c r="H365" s="316"/>
      <c r="I365" s="331"/>
      <c r="J365" s="316"/>
      <c r="K365" s="331"/>
      <c r="L365" s="316"/>
      <c r="M365" s="7"/>
      <c r="N365" s="206"/>
    </row>
    <row r="366" spans="1:14" s="6" customFormat="1" ht="15" customHeight="1" x14ac:dyDescent="0.25">
      <c r="A366" s="33"/>
      <c r="B366" s="437"/>
      <c r="C366" s="380"/>
      <c r="D366" s="319"/>
      <c r="E366" s="380"/>
      <c r="F366" s="319"/>
      <c r="G366" s="381"/>
      <c r="H366" s="382"/>
      <c r="I366" s="380"/>
      <c r="J366" s="319"/>
      <c r="K366" s="380"/>
      <c r="L366" s="319"/>
      <c r="M366" s="7"/>
      <c r="N366" s="206"/>
    </row>
    <row r="367" spans="1:14" s="6" customFormat="1" ht="15" customHeight="1" x14ac:dyDescent="0.25">
      <c r="A367" s="33"/>
      <c r="B367" s="429"/>
      <c r="C367" s="207">
        <f>K360+3</f>
        <v>42065</v>
      </c>
      <c r="D367" s="208"/>
      <c r="E367" s="207">
        <f>C367+1</f>
        <v>42066</v>
      </c>
      <c r="F367" s="208"/>
      <c r="G367" s="207">
        <f>E367+1</f>
        <v>42067</v>
      </c>
      <c r="H367" s="208"/>
      <c r="I367" s="207">
        <f>G367+1</f>
        <v>42068</v>
      </c>
      <c r="J367" s="208"/>
      <c r="K367" s="207">
        <f>I367+1</f>
        <v>42069</v>
      </c>
      <c r="L367" s="208"/>
      <c r="M367" s="7"/>
      <c r="N367" s="206"/>
    </row>
    <row r="368" spans="1:14" s="6" customFormat="1" ht="15" customHeight="1" x14ac:dyDescent="0.25">
      <c r="A368" s="33"/>
      <c r="B368" s="429"/>
      <c r="C368" s="440"/>
      <c r="D368" s="456"/>
      <c r="E368" s="331"/>
      <c r="F368" s="316"/>
      <c r="G368" s="331"/>
      <c r="H368" s="316"/>
      <c r="I368" s="331"/>
      <c r="J368" s="316"/>
      <c r="K368" s="331"/>
      <c r="L368" s="316"/>
      <c r="M368" s="7"/>
      <c r="N368" s="206"/>
    </row>
    <row r="369" spans="1:14" s="6" customFormat="1" ht="15" customHeight="1" x14ac:dyDescent="0.25">
      <c r="A369" s="33"/>
      <c r="B369" s="429"/>
      <c r="C369" s="317"/>
      <c r="D369" s="316"/>
      <c r="E369" s="331"/>
      <c r="F369" s="316"/>
      <c r="G369" s="331"/>
      <c r="H369" s="316"/>
      <c r="I369" s="331"/>
      <c r="J369" s="316"/>
      <c r="K369" s="331"/>
      <c r="L369" s="316"/>
      <c r="M369" s="7"/>
      <c r="N369" s="206"/>
    </row>
    <row r="370" spans="1:14" s="6" customFormat="1" ht="15" customHeight="1" x14ac:dyDescent="0.25">
      <c r="A370" s="33"/>
      <c r="B370" s="429"/>
      <c r="C370" s="383"/>
      <c r="D370" s="384"/>
      <c r="E370" s="331"/>
      <c r="F370" s="316"/>
      <c r="G370" s="331"/>
      <c r="H370" s="316"/>
      <c r="I370" s="331"/>
      <c r="J370" s="316"/>
      <c r="K370" s="331"/>
      <c r="L370" s="316"/>
      <c r="M370" s="7"/>
      <c r="N370" s="206"/>
    </row>
    <row r="371" spans="1:14" s="6" customFormat="1" ht="15" customHeight="1" x14ac:dyDescent="0.25">
      <c r="A371" s="33"/>
      <c r="B371" s="429"/>
      <c r="C371" s="317"/>
      <c r="D371" s="316"/>
      <c r="E371" s="331"/>
      <c r="F371" s="316"/>
      <c r="G371" s="331"/>
      <c r="H371" s="316"/>
      <c r="I371" s="331"/>
      <c r="J371" s="316"/>
      <c r="K371" s="331"/>
      <c r="L371" s="316"/>
      <c r="M371" s="7"/>
      <c r="N371" s="206"/>
    </row>
    <row r="372" spans="1:14" s="6" customFormat="1" ht="15" customHeight="1" x14ac:dyDescent="0.25">
      <c r="A372" s="33"/>
      <c r="B372" s="429"/>
      <c r="C372" s="317"/>
      <c r="D372" s="316"/>
      <c r="E372" s="331"/>
      <c r="F372" s="316"/>
      <c r="G372" s="331"/>
      <c r="H372" s="316"/>
      <c r="I372" s="331"/>
      <c r="J372" s="316"/>
      <c r="K372" s="331"/>
      <c r="L372" s="316"/>
      <c r="M372" s="7"/>
      <c r="N372" s="206"/>
    </row>
    <row r="373" spans="1:14" s="6" customFormat="1" ht="15" customHeight="1" x14ac:dyDescent="0.25">
      <c r="A373" s="33"/>
      <c r="B373" s="429"/>
      <c r="C373" s="318"/>
      <c r="D373" s="319"/>
      <c r="E373" s="380"/>
      <c r="F373" s="319"/>
      <c r="G373" s="380"/>
      <c r="H373" s="319"/>
      <c r="I373" s="380"/>
      <c r="J373" s="319"/>
      <c r="K373" s="380"/>
      <c r="L373" s="319"/>
      <c r="M373" s="7"/>
      <c r="N373" s="206"/>
    </row>
    <row r="374" spans="1:14" s="6" customFormat="1" ht="15" customHeight="1" x14ac:dyDescent="0.25">
      <c r="A374" s="33"/>
      <c r="B374" s="429"/>
      <c r="C374" s="207">
        <f>K367+3</f>
        <v>42072</v>
      </c>
      <c r="D374" s="208"/>
      <c r="E374" s="207">
        <f>C374+1</f>
        <v>42073</v>
      </c>
      <c r="F374" s="208"/>
      <c r="G374" s="207">
        <f>E374+1</f>
        <v>42074</v>
      </c>
      <c r="H374" s="208"/>
      <c r="I374" s="207">
        <f>G374+1</f>
        <v>42075</v>
      </c>
      <c r="J374" s="208"/>
      <c r="K374" s="207">
        <f>I374+1</f>
        <v>42076</v>
      </c>
      <c r="L374" s="208"/>
      <c r="M374" s="7"/>
      <c r="N374" s="206"/>
    </row>
    <row r="375" spans="1:14" s="6" customFormat="1" ht="15" customHeight="1" x14ac:dyDescent="0.25">
      <c r="A375" s="33"/>
      <c r="B375" s="429"/>
      <c r="C375" s="317"/>
      <c r="D375" s="316"/>
      <c r="E375" s="331"/>
      <c r="F375" s="316"/>
      <c r="G375" s="331"/>
      <c r="H375" s="316"/>
      <c r="I375" s="331"/>
      <c r="J375" s="316"/>
      <c r="K375" s="331"/>
      <c r="L375" s="316"/>
      <c r="M375" s="7"/>
      <c r="N375" s="206"/>
    </row>
    <row r="376" spans="1:14" s="6" customFormat="1" ht="15" customHeight="1" x14ac:dyDescent="0.25">
      <c r="A376" s="33"/>
      <c r="B376" s="429"/>
      <c r="C376" s="317"/>
      <c r="D376" s="316"/>
      <c r="E376" s="331"/>
      <c r="F376" s="316"/>
      <c r="G376" s="331"/>
      <c r="H376" s="316"/>
      <c r="I376" s="331"/>
      <c r="J376" s="316"/>
      <c r="K376" s="331"/>
      <c r="L376" s="316"/>
      <c r="M376" s="7"/>
      <c r="N376" s="206"/>
    </row>
    <row r="377" spans="1:14" s="6" customFormat="1" ht="15" customHeight="1" x14ac:dyDescent="0.25">
      <c r="A377" s="33"/>
      <c r="B377" s="429"/>
      <c r="C377" s="317"/>
      <c r="D377" s="316"/>
      <c r="E377" s="331"/>
      <c r="F377" s="316"/>
      <c r="G377" s="331"/>
      <c r="H377" s="316"/>
      <c r="I377" s="331"/>
      <c r="J377" s="316"/>
      <c r="K377" s="331"/>
      <c r="L377" s="316"/>
      <c r="M377" s="7"/>
      <c r="N377" s="206"/>
    </row>
    <row r="378" spans="1:14" s="6" customFormat="1" ht="15" customHeight="1" x14ac:dyDescent="0.25">
      <c r="A378" s="33"/>
      <c r="B378" s="429"/>
      <c r="C378" s="317"/>
      <c r="D378" s="316"/>
      <c r="E378" s="331"/>
      <c r="F378" s="316"/>
      <c r="G378" s="331"/>
      <c r="H378" s="316"/>
      <c r="I378" s="331"/>
      <c r="J378" s="316"/>
      <c r="K378" s="331"/>
      <c r="L378" s="316"/>
      <c r="M378" s="7"/>
      <c r="N378" s="206"/>
    </row>
    <row r="379" spans="1:14" s="6" customFormat="1" ht="15" customHeight="1" x14ac:dyDescent="0.25">
      <c r="A379" s="33"/>
      <c r="B379" s="429"/>
      <c r="C379" s="331"/>
      <c r="D379" s="316"/>
      <c r="E379" s="331"/>
      <c r="F379" s="316"/>
      <c r="G379" s="331"/>
      <c r="H379" s="316"/>
      <c r="I379" s="331"/>
      <c r="J379" s="316"/>
      <c r="K379" s="331"/>
      <c r="L379" s="316"/>
      <c r="M379" s="7"/>
      <c r="N379" s="206"/>
    </row>
    <row r="380" spans="1:14" s="6" customFormat="1" ht="15" customHeight="1" x14ac:dyDescent="0.25">
      <c r="A380" s="33"/>
      <c r="B380" s="429"/>
      <c r="C380" s="380"/>
      <c r="D380" s="319"/>
      <c r="E380" s="380"/>
      <c r="F380" s="319"/>
      <c r="G380" s="380"/>
      <c r="H380" s="319"/>
      <c r="I380" s="380"/>
      <c r="J380" s="319"/>
      <c r="K380" s="380"/>
      <c r="L380" s="319"/>
      <c r="M380" s="7"/>
      <c r="N380" s="206"/>
    </row>
    <row r="381" spans="1:14" s="6" customFormat="1" ht="15" customHeight="1" x14ac:dyDescent="0.25">
      <c r="A381" s="33"/>
      <c r="B381" s="429"/>
      <c r="C381" s="207">
        <f>K374+3</f>
        <v>42079</v>
      </c>
      <c r="D381" s="208"/>
      <c r="E381" s="213">
        <f>C381+1</f>
        <v>42080</v>
      </c>
      <c r="F381" s="208"/>
      <c r="G381" s="207">
        <f>E381+1</f>
        <v>42081</v>
      </c>
      <c r="H381" s="208"/>
      <c r="I381" s="207">
        <f>G381+1</f>
        <v>42082</v>
      </c>
      <c r="J381" s="208"/>
      <c r="K381" s="207">
        <f>I381+1</f>
        <v>42083</v>
      </c>
      <c r="L381" s="208"/>
      <c r="M381" s="7"/>
      <c r="N381" s="206"/>
    </row>
    <row r="382" spans="1:14" s="6" customFormat="1" ht="15" customHeight="1" x14ac:dyDescent="0.25">
      <c r="A382" s="33"/>
      <c r="B382" s="429"/>
      <c r="C382" s="317"/>
      <c r="D382" s="316"/>
      <c r="E382" s="331"/>
      <c r="F382" s="316"/>
      <c r="G382" s="331"/>
      <c r="H382" s="316"/>
      <c r="I382" s="331"/>
      <c r="J382" s="316"/>
      <c r="K382" s="331"/>
      <c r="L382" s="316"/>
      <c r="M382" s="7"/>
      <c r="N382" s="206"/>
    </row>
    <row r="383" spans="1:14" s="6" customFormat="1" ht="15" customHeight="1" x14ac:dyDescent="0.25">
      <c r="A383" s="33"/>
      <c r="B383" s="429"/>
      <c r="C383" s="317"/>
      <c r="D383" s="316"/>
      <c r="E383" s="331"/>
      <c r="F383" s="316"/>
      <c r="G383" s="331"/>
      <c r="H383" s="316"/>
      <c r="I383" s="331"/>
      <c r="J383" s="316"/>
      <c r="K383" s="331"/>
      <c r="L383" s="316"/>
      <c r="M383" s="7"/>
      <c r="N383" s="206"/>
    </row>
    <row r="384" spans="1:14" s="6" customFormat="1" ht="15" customHeight="1" x14ac:dyDescent="0.25">
      <c r="A384" s="33"/>
      <c r="B384" s="429"/>
      <c r="C384" s="317"/>
      <c r="D384" s="316"/>
      <c r="E384" s="331"/>
      <c r="F384" s="316"/>
      <c r="G384" s="331"/>
      <c r="H384" s="316"/>
      <c r="I384" s="331"/>
      <c r="J384" s="316"/>
      <c r="K384" s="331"/>
      <c r="L384" s="316"/>
      <c r="M384" s="7"/>
      <c r="N384" s="206"/>
    </row>
    <row r="385" spans="1:14" s="6" customFormat="1" ht="15" customHeight="1" x14ac:dyDescent="0.25">
      <c r="A385" s="33"/>
      <c r="B385" s="429"/>
      <c r="C385" s="317"/>
      <c r="D385" s="316"/>
      <c r="E385" s="331"/>
      <c r="F385" s="316"/>
      <c r="G385" s="331"/>
      <c r="H385" s="316"/>
      <c r="I385" s="331"/>
      <c r="J385" s="316"/>
      <c r="K385" s="331"/>
      <c r="L385" s="316"/>
      <c r="M385" s="7"/>
      <c r="N385" s="206"/>
    </row>
    <row r="386" spans="1:14" s="6" customFormat="1" ht="15" customHeight="1" x14ac:dyDescent="0.25">
      <c r="A386" s="33"/>
      <c r="B386" s="429"/>
      <c r="C386" s="317"/>
      <c r="D386" s="316"/>
      <c r="E386" s="331"/>
      <c r="F386" s="316"/>
      <c r="G386" s="331"/>
      <c r="H386" s="316"/>
      <c r="I386" s="331"/>
      <c r="J386" s="316"/>
      <c r="K386" s="331"/>
      <c r="L386" s="316"/>
      <c r="M386" s="7"/>
      <c r="N386" s="206"/>
    </row>
    <row r="387" spans="1:14" s="6" customFormat="1" ht="15" customHeight="1" x14ac:dyDescent="0.25">
      <c r="A387" s="33"/>
      <c r="B387" s="429"/>
      <c r="C387" s="318"/>
      <c r="D387" s="319"/>
      <c r="E387" s="380"/>
      <c r="F387" s="319"/>
      <c r="G387" s="381"/>
      <c r="H387" s="382"/>
      <c r="I387" s="380"/>
      <c r="J387" s="319"/>
      <c r="K387" s="380"/>
      <c r="L387" s="319"/>
      <c r="M387" s="7"/>
      <c r="N387" s="206"/>
    </row>
    <row r="388" spans="1:14" s="6" customFormat="1" ht="15" customHeight="1" x14ac:dyDescent="0.25">
      <c r="A388" s="33"/>
      <c r="B388" s="429"/>
      <c r="C388" s="210">
        <f>K381+3</f>
        <v>42086</v>
      </c>
      <c r="D388" s="211"/>
      <c r="E388" s="213">
        <f>C388+1</f>
        <v>42087</v>
      </c>
      <c r="F388" s="211"/>
      <c r="G388" s="213">
        <f>E388+1</f>
        <v>42088</v>
      </c>
      <c r="H388" s="211"/>
      <c r="I388" s="213">
        <f>G388+1</f>
        <v>42089</v>
      </c>
      <c r="J388" s="211"/>
      <c r="K388" s="213">
        <f>I388+1</f>
        <v>42090</v>
      </c>
      <c r="L388" s="211"/>
      <c r="M388" s="7"/>
      <c r="N388" s="206"/>
    </row>
    <row r="389" spans="1:14" s="6" customFormat="1" ht="15" customHeight="1" x14ac:dyDescent="0.25">
      <c r="A389" s="33"/>
      <c r="B389" s="429"/>
      <c r="C389" s="331"/>
      <c r="D389" s="316"/>
      <c r="E389" s="331"/>
      <c r="F389" s="316"/>
      <c r="G389" s="331"/>
      <c r="H389" s="452"/>
      <c r="I389" s="331"/>
      <c r="J389" s="316"/>
      <c r="K389" s="331"/>
      <c r="L389" s="316"/>
      <c r="M389" s="7"/>
      <c r="N389" s="206"/>
    </row>
    <row r="390" spans="1:14" s="6" customFormat="1" ht="15" customHeight="1" x14ac:dyDescent="0.25">
      <c r="A390" s="33"/>
      <c r="B390" s="429"/>
      <c r="C390" s="317"/>
      <c r="D390" s="316"/>
      <c r="E390" s="331"/>
      <c r="F390" s="316"/>
      <c r="G390" s="331"/>
      <c r="H390" s="452"/>
      <c r="I390" s="331"/>
      <c r="J390" s="316"/>
      <c r="K390" s="331"/>
      <c r="L390" s="316"/>
      <c r="M390" s="7"/>
      <c r="N390" s="206"/>
    </row>
    <row r="391" spans="1:14" s="6" customFormat="1" ht="15" customHeight="1" x14ac:dyDescent="0.25">
      <c r="A391" s="33"/>
      <c r="B391" s="429"/>
      <c r="C391" s="383"/>
      <c r="D391" s="384"/>
      <c r="E391" s="331"/>
      <c r="F391" s="316"/>
      <c r="G391" s="331"/>
      <c r="H391" s="452"/>
      <c r="I391" s="331"/>
      <c r="J391" s="316"/>
      <c r="K391" s="331"/>
      <c r="L391" s="316"/>
      <c r="M391" s="7"/>
      <c r="N391" s="206"/>
    </row>
    <row r="392" spans="1:14" s="6" customFormat="1" ht="15" customHeight="1" x14ac:dyDescent="0.25">
      <c r="A392" s="33"/>
      <c r="B392" s="429"/>
      <c r="C392" s="383"/>
      <c r="D392" s="384"/>
      <c r="E392" s="331"/>
      <c r="F392" s="316"/>
      <c r="G392" s="331"/>
      <c r="H392" s="316"/>
      <c r="I392" s="331"/>
      <c r="J392" s="316"/>
      <c r="K392" s="331"/>
      <c r="L392" s="316"/>
      <c r="M392" s="7"/>
      <c r="N392" s="206"/>
    </row>
    <row r="393" spans="1:14" s="6" customFormat="1" ht="15" customHeight="1" x14ac:dyDescent="0.25">
      <c r="A393" s="33"/>
      <c r="B393" s="429"/>
      <c r="C393" s="383"/>
      <c r="D393" s="384"/>
      <c r="E393" s="331"/>
      <c r="F393" s="316"/>
      <c r="G393" s="331"/>
      <c r="H393" s="452"/>
      <c r="I393" s="331"/>
      <c r="J393" s="316"/>
      <c r="K393" s="331"/>
      <c r="L393" s="316"/>
      <c r="M393" s="7"/>
      <c r="N393" s="206"/>
    </row>
    <row r="394" spans="1:14" s="6" customFormat="1" ht="15" customHeight="1" x14ac:dyDescent="0.25">
      <c r="A394" s="33"/>
      <c r="B394" s="429"/>
      <c r="C394" s="317"/>
      <c r="D394" s="316"/>
      <c r="E394" s="380"/>
      <c r="F394" s="319"/>
      <c r="G394" s="380"/>
      <c r="H394" s="319"/>
      <c r="I394" s="380"/>
      <c r="J394" s="319"/>
      <c r="K394" s="380"/>
      <c r="L394" s="319"/>
      <c r="M394" s="7"/>
      <c r="N394" s="206"/>
    </row>
    <row r="395" spans="1:14" s="6" customFormat="1" ht="15" customHeight="1" x14ac:dyDescent="0.25">
      <c r="A395" s="33"/>
      <c r="B395" s="429" t="s">
        <v>51</v>
      </c>
      <c r="C395" s="210">
        <f>K388+3</f>
        <v>42093</v>
      </c>
      <c r="D395" s="211"/>
      <c r="E395" s="213">
        <f>C395+1</f>
        <v>42094</v>
      </c>
      <c r="F395" s="211"/>
      <c r="G395" s="213">
        <f>E395+1</f>
        <v>42095</v>
      </c>
      <c r="H395" s="211"/>
      <c r="I395" s="213">
        <f>G395+1</f>
        <v>42096</v>
      </c>
      <c r="J395" s="211"/>
      <c r="K395" s="213">
        <f>I395+1</f>
        <v>42097</v>
      </c>
      <c r="L395" s="211"/>
      <c r="M395" s="7"/>
      <c r="N395" s="206"/>
    </row>
    <row r="396" spans="1:14" s="6" customFormat="1" ht="15" customHeight="1" x14ac:dyDescent="0.25">
      <c r="A396" s="33"/>
      <c r="B396" s="429"/>
      <c r="C396" s="317"/>
      <c r="D396" s="316"/>
      <c r="E396" s="331"/>
      <c r="F396" s="316"/>
      <c r="G396" s="331"/>
      <c r="H396" s="316"/>
      <c r="I396" s="331"/>
      <c r="J396" s="316"/>
      <c r="K396" s="331"/>
      <c r="L396" s="316"/>
      <c r="M396" s="7"/>
      <c r="N396" s="206"/>
    </row>
    <row r="397" spans="1:14" s="6" customFormat="1" ht="15" customHeight="1" x14ac:dyDescent="0.25">
      <c r="A397" s="33"/>
      <c r="B397" s="429"/>
      <c r="C397" s="383"/>
      <c r="D397" s="384"/>
      <c r="E397" s="331"/>
      <c r="F397" s="316"/>
      <c r="G397" s="331"/>
      <c r="H397" s="316"/>
      <c r="I397" s="331"/>
      <c r="J397" s="316"/>
      <c r="K397" s="331"/>
      <c r="L397" s="316"/>
      <c r="M397" s="7"/>
      <c r="N397" s="206"/>
    </row>
    <row r="398" spans="1:14" s="6" customFormat="1" ht="15" customHeight="1" x14ac:dyDescent="0.25">
      <c r="A398" s="33"/>
      <c r="B398" s="429"/>
      <c r="C398" s="383"/>
      <c r="D398" s="384"/>
      <c r="E398" s="331"/>
      <c r="F398" s="316"/>
      <c r="G398" s="331"/>
      <c r="H398" s="316"/>
      <c r="I398" s="331"/>
      <c r="J398" s="316"/>
      <c r="K398" s="331"/>
      <c r="L398" s="316"/>
      <c r="M398" s="7"/>
      <c r="N398" s="206"/>
    </row>
    <row r="399" spans="1:14" s="6" customFormat="1" ht="15" customHeight="1" x14ac:dyDescent="0.25">
      <c r="A399" s="33"/>
      <c r="B399" s="429"/>
      <c r="C399" s="317"/>
      <c r="D399" s="316"/>
      <c r="E399" s="331"/>
      <c r="F399" s="316"/>
      <c r="G399" s="331"/>
      <c r="H399" s="316"/>
      <c r="I399" s="331"/>
      <c r="J399" s="316"/>
      <c r="K399" s="331"/>
      <c r="L399" s="316"/>
      <c r="M399" s="7"/>
      <c r="N399" s="206"/>
    </row>
    <row r="400" spans="1:14" s="6" customFormat="1" ht="15" customHeight="1" x14ac:dyDescent="0.25">
      <c r="A400" s="33"/>
      <c r="B400" s="429"/>
      <c r="C400" s="317"/>
      <c r="D400" s="316"/>
      <c r="E400" s="331"/>
      <c r="F400" s="316"/>
      <c r="G400" s="331"/>
      <c r="H400" s="316"/>
      <c r="I400" s="331"/>
      <c r="J400" s="316"/>
      <c r="K400" s="331"/>
      <c r="L400" s="316"/>
      <c r="M400" s="7"/>
      <c r="N400" s="206"/>
    </row>
    <row r="401" spans="1:14" s="6" customFormat="1" ht="15" customHeight="1" x14ac:dyDescent="0.25">
      <c r="A401" s="33"/>
      <c r="B401" s="430"/>
      <c r="C401" s="318"/>
      <c r="D401" s="319"/>
      <c r="E401" s="380"/>
      <c r="F401" s="319"/>
      <c r="G401" s="380"/>
      <c r="H401" s="319"/>
      <c r="I401" s="380"/>
      <c r="J401" s="319"/>
      <c r="K401" s="380"/>
      <c r="L401" s="319"/>
      <c r="M401" s="7"/>
      <c r="N401" s="206"/>
    </row>
    <row r="402" spans="1:14" s="6" customFormat="1" ht="15" customHeight="1" x14ac:dyDescent="0.25">
      <c r="A402" s="33"/>
      <c r="B402" s="435"/>
      <c r="C402" s="210">
        <f>K395+3</f>
        <v>42100</v>
      </c>
      <c r="D402" s="211"/>
      <c r="E402" s="213">
        <f>C402+1</f>
        <v>42101</v>
      </c>
      <c r="F402" s="211"/>
      <c r="G402" s="213">
        <f>E402+1</f>
        <v>42102</v>
      </c>
      <c r="H402" s="211"/>
      <c r="I402" s="213">
        <f>G402+1</f>
        <v>42103</v>
      </c>
      <c r="J402" s="211"/>
      <c r="K402" s="213">
        <f>I402+1</f>
        <v>42104</v>
      </c>
      <c r="L402" s="211"/>
      <c r="M402" s="7"/>
      <c r="N402" s="206"/>
    </row>
    <row r="403" spans="1:14" s="6" customFormat="1" ht="15" customHeight="1" x14ac:dyDescent="0.25">
      <c r="A403" s="33"/>
      <c r="B403" s="434"/>
      <c r="C403" s="440"/>
      <c r="D403" s="456"/>
      <c r="E403" s="331"/>
      <c r="F403" s="316"/>
      <c r="G403" s="331"/>
      <c r="H403" s="316"/>
      <c r="I403" s="331"/>
      <c r="J403" s="316"/>
      <c r="K403" s="331"/>
      <c r="L403" s="316"/>
      <c r="M403" s="7"/>
      <c r="N403" s="206"/>
    </row>
    <row r="404" spans="1:14" s="6" customFormat="1" ht="15" customHeight="1" x14ac:dyDescent="0.25">
      <c r="A404" s="33"/>
      <c r="B404" s="434"/>
      <c r="C404" s="317"/>
      <c r="D404" s="316"/>
      <c r="E404" s="331"/>
      <c r="F404" s="316"/>
      <c r="G404" s="331"/>
      <c r="H404" s="316"/>
      <c r="I404" s="331"/>
      <c r="J404" s="316"/>
      <c r="K404" s="331"/>
      <c r="L404" s="316"/>
      <c r="M404" s="7"/>
      <c r="N404" s="206"/>
    </row>
    <row r="405" spans="1:14" s="6" customFormat="1" ht="15" customHeight="1" x14ac:dyDescent="0.25">
      <c r="A405" s="33"/>
      <c r="B405" s="434"/>
      <c r="C405" s="383"/>
      <c r="D405" s="384"/>
      <c r="E405" s="331"/>
      <c r="F405" s="316"/>
      <c r="G405" s="331"/>
      <c r="H405" s="316"/>
      <c r="I405" s="331"/>
      <c r="J405" s="316"/>
      <c r="K405" s="331"/>
      <c r="L405" s="316"/>
      <c r="M405" s="7"/>
      <c r="N405" s="206"/>
    </row>
    <row r="406" spans="1:14" s="6" customFormat="1" ht="15" customHeight="1" x14ac:dyDescent="0.25">
      <c r="A406" s="33"/>
      <c r="B406" s="434"/>
      <c r="C406" s="317"/>
      <c r="D406" s="316"/>
      <c r="E406" s="331"/>
      <c r="F406" s="316"/>
      <c r="G406" s="331"/>
      <c r="H406" s="316"/>
      <c r="I406" s="331"/>
      <c r="J406" s="316"/>
      <c r="K406" s="331"/>
      <c r="L406" s="316"/>
      <c r="M406" s="7"/>
      <c r="N406" s="206"/>
    </row>
    <row r="407" spans="1:14" s="6" customFormat="1" ht="15" customHeight="1" x14ac:dyDescent="0.25">
      <c r="A407" s="33"/>
      <c r="B407" s="434"/>
      <c r="C407" s="317"/>
      <c r="D407" s="316"/>
      <c r="E407" s="331"/>
      <c r="F407" s="316"/>
      <c r="G407" s="331"/>
      <c r="H407" s="316"/>
      <c r="I407" s="331"/>
      <c r="J407" s="316"/>
      <c r="K407" s="331"/>
      <c r="L407" s="316"/>
      <c r="M407" s="7"/>
      <c r="N407" s="206"/>
    </row>
    <row r="408" spans="1:14" s="6" customFormat="1" ht="15" customHeight="1" x14ac:dyDescent="0.25">
      <c r="A408" s="33"/>
      <c r="B408" s="434"/>
      <c r="C408" s="318"/>
      <c r="D408" s="319"/>
      <c r="E408" s="380"/>
      <c r="F408" s="319"/>
      <c r="G408" s="381"/>
      <c r="H408" s="382"/>
      <c r="I408" s="380"/>
      <c r="J408" s="319"/>
      <c r="K408" s="380"/>
      <c r="L408" s="319"/>
      <c r="M408" s="7"/>
      <c r="N408" s="206"/>
    </row>
    <row r="409" spans="1:14" s="6" customFormat="1" ht="15" customHeight="1" x14ac:dyDescent="0.25">
      <c r="A409" s="33"/>
      <c r="B409" s="434"/>
      <c r="C409" s="210">
        <f>K402+3</f>
        <v>42107</v>
      </c>
      <c r="D409" s="211"/>
      <c r="E409" s="213">
        <f>C409+1</f>
        <v>42108</v>
      </c>
      <c r="F409" s="211"/>
      <c r="G409" s="213">
        <f>E409+1</f>
        <v>42109</v>
      </c>
      <c r="H409" s="211"/>
      <c r="I409" s="213">
        <f>G409+1</f>
        <v>42110</v>
      </c>
      <c r="J409" s="211"/>
      <c r="K409" s="213">
        <f>I409+1</f>
        <v>42111</v>
      </c>
      <c r="L409" s="211"/>
      <c r="M409" s="7"/>
      <c r="N409" s="206"/>
    </row>
    <row r="410" spans="1:14" s="6" customFormat="1" ht="15" customHeight="1" x14ac:dyDescent="0.25">
      <c r="A410" s="33"/>
      <c r="B410" s="434"/>
      <c r="C410" s="383"/>
      <c r="D410" s="316"/>
      <c r="E410" s="331"/>
      <c r="F410" s="316"/>
      <c r="G410" s="331"/>
      <c r="H410" s="316"/>
      <c r="I410" s="331"/>
      <c r="J410" s="316"/>
      <c r="K410" s="331"/>
      <c r="L410" s="316"/>
      <c r="M410" s="7"/>
      <c r="N410" s="206"/>
    </row>
    <row r="411" spans="1:14" s="6" customFormat="1" ht="15" customHeight="1" x14ac:dyDescent="0.25">
      <c r="A411" s="33"/>
      <c r="B411" s="434"/>
      <c r="C411" s="317"/>
      <c r="D411" s="316"/>
      <c r="E411" s="378"/>
      <c r="F411" s="379"/>
      <c r="G411" s="378"/>
      <c r="H411" s="379"/>
      <c r="I411" s="331"/>
      <c r="J411" s="316"/>
      <c r="K411" s="331"/>
      <c r="L411" s="316"/>
      <c r="M411" s="7"/>
      <c r="N411" s="206"/>
    </row>
    <row r="412" spans="1:14" s="6" customFormat="1" ht="15" customHeight="1" x14ac:dyDescent="0.25">
      <c r="A412" s="33"/>
      <c r="B412" s="434"/>
      <c r="C412" s="383"/>
      <c r="D412" s="384"/>
      <c r="E412" s="331"/>
      <c r="F412" s="316"/>
      <c r="G412" s="331"/>
      <c r="H412" s="316"/>
      <c r="I412" s="386"/>
      <c r="J412" s="316"/>
      <c r="K412" s="386"/>
      <c r="L412" s="316"/>
      <c r="M412" s="7"/>
      <c r="N412" s="206"/>
    </row>
    <row r="413" spans="1:14" s="6" customFormat="1" ht="15" customHeight="1" x14ac:dyDescent="0.25">
      <c r="A413" s="33"/>
      <c r="B413" s="434"/>
      <c r="C413" s="317"/>
      <c r="D413" s="316"/>
      <c r="E413" s="331"/>
      <c r="F413" s="316"/>
      <c r="G413" s="331"/>
      <c r="H413" s="316"/>
      <c r="I413" s="386"/>
      <c r="J413" s="316"/>
      <c r="K413" s="386"/>
      <c r="L413" s="316"/>
      <c r="M413" s="7"/>
      <c r="N413" s="206"/>
    </row>
    <row r="414" spans="1:14" s="6" customFormat="1" ht="15" customHeight="1" x14ac:dyDescent="0.25">
      <c r="A414" s="33"/>
      <c r="B414" s="434"/>
      <c r="C414" s="317"/>
      <c r="D414" s="316"/>
      <c r="E414" s="331"/>
      <c r="F414" s="316"/>
      <c r="G414" s="331"/>
      <c r="H414" s="316"/>
      <c r="I414" s="386"/>
      <c r="J414" s="316"/>
      <c r="K414" s="386"/>
      <c r="L414" s="316"/>
      <c r="M414" s="7"/>
      <c r="N414" s="206"/>
    </row>
    <row r="415" spans="1:14" s="6" customFormat="1" ht="15" customHeight="1" x14ac:dyDescent="0.25">
      <c r="A415" s="33"/>
      <c r="B415" s="434"/>
      <c r="C415" s="318"/>
      <c r="D415" s="319"/>
      <c r="E415" s="380"/>
      <c r="F415" s="319"/>
      <c r="G415" s="381"/>
      <c r="H415" s="382"/>
      <c r="I415" s="380"/>
      <c r="J415" s="319"/>
      <c r="K415" s="380"/>
      <c r="L415" s="319"/>
      <c r="M415" s="7"/>
      <c r="N415" s="206"/>
    </row>
    <row r="416" spans="1:14" s="6" customFormat="1" ht="15" customHeight="1" x14ac:dyDescent="0.25">
      <c r="A416" s="33"/>
      <c r="B416" s="434"/>
      <c r="C416" s="210">
        <f>K409+3</f>
        <v>42114</v>
      </c>
      <c r="D416" s="211"/>
      <c r="E416" s="213">
        <f>C416+1</f>
        <v>42115</v>
      </c>
      <c r="F416" s="211"/>
      <c r="G416" s="213">
        <f>E416+1</f>
        <v>42116</v>
      </c>
      <c r="H416" s="211"/>
      <c r="I416" s="213">
        <f>G416+1</f>
        <v>42117</v>
      </c>
      <c r="J416" s="211"/>
      <c r="K416" s="213">
        <f>I416+1</f>
        <v>42118</v>
      </c>
      <c r="L416" s="211"/>
      <c r="M416" s="7"/>
      <c r="N416" s="206"/>
    </row>
    <row r="417" spans="1:14" s="6" customFormat="1" ht="15" customHeight="1" x14ac:dyDescent="0.25">
      <c r="A417" s="33"/>
      <c r="B417" s="434"/>
      <c r="C417" s="317"/>
      <c r="D417" s="316"/>
      <c r="E417" s="331"/>
      <c r="F417" s="316"/>
      <c r="G417" s="331"/>
      <c r="H417" s="316"/>
      <c r="I417" s="331"/>
      <c r="J417" s="316"/>
      <c r="K417" s="331"/>
      <c r="L417" s="316"/>
      <c r="M417" s="7"/>
      <c r="N417" s="206"/>
    </row>
    <row r="418" spans="1:14" s="6" customFormat="1" ht="15" customHeight="1" x14ac:dyDescent="0.25">
      <c r="A418" s="33"/>
      <c r="B418" s="434"/>
      <c r="C418" s="317"/>
      <c r="D418" s="316"/>
      <c r="E418" s="386"/>
      <c r="F418" s="384"/>
      <c r="G418" s="331"/>
      <c r="H418" s="316"/>
      <c r="I418" s="386"/>
      <c r="J418" s="316"/>
      <c r="K418" s="386"/>
      <c r="L418" s="316"/>
      <c r="M418" s="7"/>
      <c r="N418" s="206"/>
    </row>
    <row r="419" spans="1:14" s="6" customFormat="1" ht="15" customHeight="1" x14ac:dyDescent="0.25">
      <c r="A419" s="33"/>
      <c r="B419" s="434"/>
      <c r="C419" s="317"/>
      <c r="D419" s="316"/>
      <c r="E419" s="331"/>
      <c r="F419" s="316"/>
      <c r="G419" s="331"/>
      <c r="H419" s="316"/>
      <c r="I419" s="331"/>
      <c r="J419" s="316"/>
      <c r="K419" s="331"/>
      <c r="L419" s="316"/>
      <c r="M419" s="7"/>
      <c r="N419" s="206"/>
    </row>
    <row r="420" spans="1:14" s="6" customFormat="1" ht="15" customHeight="1" x14ac:dyDescent="0.25">
      <c r="A420" s="33"/>
      <c r="B420" s="434"/>
      <c r="C420" s="317"/>
      <c r="D420" s="316"/>
      <c r="E420" s="331"/>
      <c r="F420" s="316"/>
      <c r="G420" s="331"/>
      <c r="H420" s="316"/>
      <c r="I420" s="331"/>
      <c r="J420" s="316"/>
      <c r="K420" s="331"/>
      <c r="L420" s="316"/>
      <c r="M420" s="7"/>
      <c r="N420" s="206"/>
    </row>
    <row r="421" spans="1:14" s="6" customFormat="1" ht="15" customHeight="1" x14ac:dyDescent="0.25">
      <c r="A421" s="33"/>
      <c r="B421" s="434"/>
      <c r="C421" s="317"/>
      <c r="D421" s="316"/>
      <c r="E421" s="331"/>
      <c r="F421" s="316"/>
      <c r="G421" s="331"/>
      <c r="H421" s="316"/>
      <c r="I421" s="331"/>
      <c r="J421" s="316"/>
      <c r="K421" s="331"/>
      <c r="L421" s="316"/>
      <c r="M421" s="7"/>
      <c r="N421" s="206"/>
    </row>
    <row r="422" spans="1:14" s="6" customFormat="1" ht="15" customHeight="1" x14ac:dyDescent="0.25">
      <c r="A422" s="33"/>
      <c r="B422" s="434"/>
      <c r="C422" s="318"/>
      <c r="D422" s="319"/>
      <c r="E422" s="380"/>
      <c r="F422" s="319"/>
      <c r="G422" s="381"/>
      <c r="H422" s="382"/>
      <c r="I422" s="380"/>
      <c r="J422" s="319"/>
      <c r="K422" s="380"/>
      <c r="L422" s="319"/>
      <c r="M422" s="7"/>
      <c r="N422" s="206"/>
    </row>
    <row r="423" spans="1:14" s="6" customFormat="1" ht="15" customHeight="1" x14ac:dyDescent="0.25">
      <c r="A423" s="33"/>
      <c r="B423" s="434" t="s">
        <v>50</v>
      </c>
      <c r="C423" s="210">
        <f>K416+3</f>
        <v>42121</v>
      </c>
      <c r="D423" s="211"/>
      <c r="E423" s="213">
        <f>C423+1</f>
        <v>42122</v>
      </c>
      <c r="F423" s="214"/>
      <c r="G423" s="213">
        <f>E423+1</f>
        <v>42123</v>
      </c>
      <c r="H423" s="211"/>
      <c r="I423" s="213">
        <f>G423+1</f>
        <v>42124</v>
      </c>
      <c r="J423" s="211"/>
      <c r="K423" s="213">
        <f>I423+1</f>
        <v>42125</v>
      </c>
      <c r="L423" s="211"/>
      <c r="M423" s="7"/>
      <c r="N423" s="206"/>
    </row>
    <row r="424" spans="1:14" s="6" customFormat="1" ht="15" customHeight="1" x14ac:dyDescent="0.25">
      <c r="A424" s="33"/>
      <c r="B424" s="434"/>
      <c r="C424" s="317"/>
      <c r="D424" s="316"/>
      <c r="E424" s="331"/>
      <c r="F424" s="316"/>
      <c r="G424" s="331"/>
      <c r="H424" s="316"/>
      <c r="I424" s="331"/>
      <c r="J424" s="316"/>
      <c r="K424" s="331"/>
      <c r="L424" s="316"/>
      <c r="M424" s="7"/>
      <c r="N424" s="206"/>
    </row>
    <row r="425" spans="1:14" s="6" customFormat="1" ht="15" customHeight="1" x14ac:dyDescent="0.25">
      <c r="A425" s="33"/>
      <c r="B425" s="434"/>
      <c r="C425" s="317"/>
      <c r="D425" s="316"/>
      <c r="E425" s="331"/>
      <c r="F425" s="316"/>
      <c r="G425" s="331"/>
      <c r="H425" s="316"/>
      <c r="I425" s="331"/>
      <c r="J425" s="316"/>
      <c r="K425" s="331"/>
      <c r="L425" s="316"/>
      <c r="M425" s="7"/>
      <c r="N425" s="206"/>
    </row>
    <row r="426" spans="1:14" s="6" customFormat="1" ht="15" customHeight="1" x14ac:dyDescent="0.25">
      <c r="A426" s="33"/>
      <c r="B426" s="434"/>
      <c r="C426" s="383"/>
      <c r="D426" s="384"/>
      <c r="E426" s="331"/>
      <c r="F426" s="316"/>
      <c r="G426" s="331"/>
      <c r="H426" s="316"/>
      <c r="I426" s="386"/>
      <c r="J426" s="316"/>
      <c r="K426" s="386"/>
      <c r="L426" s="316"/>
      <c r="M426" s="7"/>
      <c r="N426" s="206"/>
    </row>
    <row r="427" spans="1:14" s="6" customFormat="1" ht="15" customHeight="1" x14ac:dyDescent="0.25">
      <c r="A427" s="33"/>
      <c r="B427" s="434"/>
      <c r="C427" s="317"/>
      <c r="D427" s="316"/>
      <c r="E427" s="331"/>
      <c r="F427" s="316"/>
      <c r="G427" s="331"/>
      <c r="H427" s="316"/>
      <c r="I427" s="331"/>
      <c r="J427" s="316"/>
      <c r="K427" s="331"/>
      <c r="L427" s="316"/>
      <c r="M427" s="7"/>
      <c r="N427" s="206"/>
    </row>
    <row r="428" spans="1:14" s="6" customFormat="1" ht="15" customHeight="1" x14ac:dyDescent="0.25">
      <c r="A428" s="33"/>
      <c r="B428" s="434"/>
      <c r="C428" s="317"/>
      <c r="D428" s="316"/>
      <c r="E428" s="331"/>
      <c r="F428" s="316"/>
      <c r="G428" s="331"/>
      <c r="H428" s="316"/>
      <c r="I428" s="331"/>
      <c r="J428" s="316"/>
      <c r="K428" s="331"/>
      <c r="L428" s="316"/>
      <c r="M428" s="7"/>
      <c r="N428" s="206"/>
    </row>
    <row r="429" spans="1:14" s="6" customFormat="1" ht="15" customHeight="1" x14ac:dyDescent="0.25">
      <c r="A429" s="33"/>
      <c r="B429" s="437"/>
      <c r="C429" s="318"/>
      <c r="D429" s="319"/>
      <c r="E429" s="380"/>
      <c r="F429" s="319"/>
      <c r="G429" s="381"/>
      <c r="H429" s="382"/>
      <c r="I429" s="380"/>
      <c r="J429" s="319"/>
      <c r="K429" s="380"/>
      <c r="L429" s="319"/>
      <c r="M429" s="7"/>
      <c r="N429" s="206"/>
    </row>
    <row r="430" spans="1:14" s="6" customFormat="1" ht="15" customHeight="1" x14ac:dyDescent="0.25">
      <c r="A430" s="33"/>
      <c r="B430" s="441"/>
      <c r="C430" s="210">
        <f>K423+3</f>
        <v>42128</v>
      </c>
      <c r="D430" s="211"/>
      <c r="E430" s="213">
        <f>C430+1</f>
        <v>42129</v>
      </c>
      <c r="F430" s="214"/>
      <c r="G430" s="213">
        <f>E430+1</f>
        <v>42130</v>
      </c>
      <c r="H430" s="211"/>
      <c r="I430" s="213">
        <f>G430+1</f>
        <v>42131</v>
      </c>
      <c r="J430" s="211"/>
      <c r="K430" s="213">
        <f>I430+1</f>
        <v>42132</v>
      </c>
      <c r="L430" s="211" t="s">
        <v>49</v>
      </c>
      <c r="M430" s="7"/>
      <c r="N430" s="206"/>
    </row>
    <row r="431" spans="1:14" s="6" customFormat="1" ht="15" customHeight="1" x14ac:dyDescent="0.25">
      <c r="A431" s="33"/>
      <c r="B431" s="429"/>
      <c r="C431" s="317"/>
      <c r="D431" s="316"/>
      <c r="E431" s="386"/>
      <c r="F431" s="384"/>
      <c r="G431" s="331"/>
      <c r="H431" s="316"/>
      <c r="I431" s="428"/>
      <c r="J431" s="431"/>
      <c r="K431" s="428"/>
      <c r="L431" s="431"/>
      <c r="M431" s="7"/>
      <c r="N431" s="206"/>
    </row>
    <row r="432" spans="1:14" s="6" customFormat="1" ht="15" customHeight="1" x14ac:dyDescent="0.25">
      <c r="A432" s="33"/>
      <c r="B432" s="429"/>
      <c r="C432" s="317"/>
      <c r="D432" s="316"/>
      <c r="E432" s="331"/>
      <c r="F432" s="316"/>
      <c r="G432" s="331"/>
      <c r="H432" s="316"/>
      <c r="I432" s="331"/>
      <c r="J432" s="316"/>
      <c r="K432" s="331"/>
      <c r="L432" s="316"/>
      <c r="M432" s="7"/>
      <c r="N432" s="206"/>
    </row>
    <row r="433" spans="1:14" s="6" customFormat="1" ht="15" customHeight="1" x14ac:dyDescent="0.25">
      <c r="A433" s="33"/>
      <c r="B433" s="429"/>
      <c r="C433" s="383"/>
      <c r="D433" s="384"/>
      <c r="E433" s="331"/>
      <c r="F433" s="316"/>
      <c r="G433" s="530"/>
      <c r="H433" s="316"/>
      <c r="I433" s="428"/>
      <c r="J433" s="431"/>
      <c r="K433" s="428"/>
      <c r="L433" s="431"/>
      <c r="M433" s="7"/>
      <c r="N433" s="206"/>
    </row>
    <row r="434" spans="1:14" s="6" customFormat="1" ht="15" customHeight="1" x14ac:dyDescent="0.25">
      <c r="A434" s="33"/>
      <c r="B434" s="429"/>
      <c r="C434" s="317"/>
      <c r="D434" s="316"/>
      <c r="E434" s="331"/>
      <c r="F434" s="316"/>
      <c r="G434" s="331"/>
      <c r="H434" s="316"/>
      <c r="I434" s="331"/>
      <c r="J434" s="316"/>
      <c r="K434" s="331"/>
      <c r="L434" s="316"/>
      <c r="M434" s="7"/>
      <c r="N434" s="206"/>
    </row>
    <row r="435" spans="1:14" s="6" customFormat="1" ht="15" customHeight="1" x14ac:dyDescent="0.25">
      <c r="A435" s="33"/>
      <c r="B435" s="429"/>
      <c r="C435" s="317"/>
      <c r="D435" s="316"/>
      <c r="E435" s="331"/>
      <c r="F435" s="316"/>
      <c r="G435" s="331"/>
      <c r="H435" s="316"/>
      <c r="I435" s="331"/>
      <c r="J435" s="316"/>
      <c r="K435" s="331"/>
      <c r="L435" s="316"/>
      <c r="M435" s="7"/>
      <c r="N435" s="206"/>
    </row>
    <row r="436" spans="1:14" s="6" customFormat="1" ht="15" customHeight="1" x14ac:dyDescent="0.25">
      <c r="A436" s="33"/>
      <c r="B436" s="429"/>
      <c r="C436" s="318"/>
      <c r="D436" s="319"/>
      <c r="E436" s="380"/>
      <c r="F436" s="319"/>
      <c r="G436" s="381"/>
      <c r="H436" s="382"/>
      <c r="I436" s="380"/>
      <c r="J436" s="319"/>
      <c r="K436" s="380"/>
      <c r="L436" s="319"/>
      <c r="M436" s="7"/>
      <c r="N436" s="206"/>
    </row>
    <row r="437" spans="1:14" s="6" customFormat="1" ht="15" customHeight="1" x14ac:dyDescent="0.25">
      <c r="A437" s="33"/>
      <c r="B437" s="429"/>
      <c r="C437" s="210">
        <f>K430+3</f>
        <v>42135</v>
      </c>
      <c r="D437" s="211"/>
      <c r="E437" s="213">
        <f>C437+1</f>
        <v>42136</v>
      </c>
      <c r="F437" s="211"/>
      <c r="G437" s="213">
        <f>E437+1</f>
        <v>42137</v>
      </c>
      <c r="H437" s="211"/>
      <c r="I437" s="213">
        <f>G437+1</f>
        <v>42138</v>
      </c>
      <c r="J437" s="211"/>
      <c r="K437" s="213">
        <f>I437+1</f>
        <v>42139</v>
      </c>
      <c r="L437" s="211"/>
      <c r="M437" s="7"/>
      <c r="N437" s="206"/>
    </row>
    <row r="438" spans="1:14" s="6" customFormat="1" ht="15" customHeight="1" x14ac:dyDescent="0.25">
      <c r="A438" s="33"/>
      <c r="B438" s="429"/>
      <c r="C438" s="317"/>
      <c r="D438" s="316"/>
      <c r="E438" s="331"/>
      <c r="F438" s="316"/>
      <c r="G438" s="331"/>
      <c r="H438" s="316"/>
      <c r="I438" s="331"/>
      <c r="J438" s="316"/>
      <c r="K438" s="331"/>
      <c r="L438" s="316"/>
      <c r="M438" s="7"/>
      <c r="N438" s="206"/>
    </row>
    <row r="439" spans="1:14" s="6" customFormat="1" ht="15" customHeight="1" x14ac:dyDescent="0.25">
      <c r="A439" s="33"/>
      <c r="B439" s="429"/>
      <c r="C439" s="440"/>
      <c r="D439" s="456"/>
      <c r="E439" s="331"/>
      <c r="F439" s="316"/>
      <c r="G439" s="331"/>
      <c r="H439" s="316"/>
      <c r="I439" s="331"/>
      <c r="J439" s="316"/>
      <c r="K439" s="331"/>
      <c r="L439" s="316"/>
      <c r="M439" s="7"/>
      <c r="N439" s="206"/>
    </row>
    <row r="440" spans="1:14" s="6" customFormat="1" ht="15" customHeight="1" x14ac:dyDescent="0.25">
      <c r="A440" s="33"/>
      <c r="B440" s="429"/>
      <c r="C440" s="383" t="s">
        <v>168</v>
      </c>
      <c r="D440" s="384"/>
      <c r="E440" s="331"/>
      <c r="F440" s="316"/>
      <c r="G440" s="331"/>
      <c r="H440" s="316"/>
      <c r="I440" s="331"/>
      <c r="J440" s="316"/>
      <c r="K440" s="331"/>
      <c r="L440" s="316"/>
      <c r="M440" s="7"/>
      <c r="N440" s="206"/>
    </row>
    <row r="441" spans="1:14" s="6" customFormat="1" ht="15" customHeight="1" x14ac:dyDescent="0.25">
      <c r="A441" s="33"/>
      <c r="B441" s="429"/>
      <c r="C441" s="317"/>
      <c r="D441" s="316"/>
      <c r="E441" s="331"/>
      <c r="F441" s="316"/>
      <c r="G441" s="331"/>
      <c r="H441" s="316"/>
      <c r="I441" s="331"/>
      <c r="J441" s="316"/>
      <c r="K441" s="331"/>
      <c r="L441" s="316"/>
      <c r="M441" s="7"/>
      <c r="N441" s="206"/>
    </row>
    <row r="442" spans="1:14" s="6" customFormat="1" ht="15" customHeight="1" x14ac:dyDescent="0.25">
      <c r="A442" s="33"/>
      <c r="B442" s="429"/>
      <c r="C442" s="317"/>
      <c r="D442" s="316"/>
      <c r="E442" s="331"/>
      <c r="F442" s="316"/>
      <c r="G442" s="331"/>
      <c r="H442" s="316"/>
      <c r="I442" s="331"/>
      <c r="J442" s="316"/>
      <c r="K442" s="331"/>
      <c r="L442" s="316"/>
      <c r="M442" s="7"/>
      <c r="N442" s="206"/>
    </row>
    <row r="443" spans="1:14" s="6" customFormat="1" ht="15" customHeight="1" x14ac:dyDescent="0.25">
      <c r="A443" s="33"/>
      <c r="B443" s="429"/>
      <c r="C443" s="318"/>
      <c r="D443" s="319"/>
      <c r="E443" s="380"/>
      <c r="F443" s="319"/>
      <c r="G443" s="381"/>
      <c r="H443" s="382"/>
      <c r="I443" s="380"/>
      <c r="J443" s="319"/>
      <c r="K443" s="380"/>
      <c r="L443" s="319"/>
      <c r="M443" s="7"/>
      <c r="N443" s="206"/>
    </row>
    <row r="444" spans="1:14" s="6" customFormat="1" ht="15" customHeight="1" x14ac:dyDescent="0.25">
      <c r="A444" s="33"/>
      <c r="B444" s="429"/>
      <c r="C444" s="210">
        <f>K437+3</f>
        <v>42142</v>
      </c>
      <c r="D444" s="211"/>
      <c r="E444" s="213">
        <f>C444+1</f>
        <v>42143</v>
      </c>
      <c r="F444" s="214"/>
      <c r="G444" s="213">
        <f>E444+1</f>
        <v>42144</v>
      </c>
      <c r="H444" s="211"/>
      <c r="I444" s="213">
        <f>G444+1</f>
        <v>42145</v>
      </c>
      <c r="J444" s="211"/>
      <c r="K444" s="213">
        <f>I444+1</f>
        <v>42146</v>
      </c>
      <c r="L444" s="211"/>
      <c r="M444" s="7"/>
      <c r="N444" s="206"/>
    </row>
    <row r="445" spans="1:14" s="6" customFormat="1" ht="15" customHeight="1" x14ac:dyDescent="0.25">
      <c r="A445" s="33"/>
      <c r="B445" s="429"/>
      <c r="C445" s="317"/>
      <c r="D445" s="316"/>
      <c r="E445" s="331"/>
      <c r="F445" s="316"/>
      <c r="G445" s="331"/>
      <c r="H445" s="316"/>
      <c r="I445" s="331"/>
      <c r="J445" s="316"/>
      <c r="K445" s="331"/>
      <c r="L445" s="316"/>
      <c r="M445" s="7"/>
      <c r="N445" s="206"/>
    </row>
    <row r="446" spans="1:14" s="6" customFormat="1" ht="15" customHeight="1" x14ac:dyDescent="0.25">
      <c r="A446" s="33"/>
      <c r="B446" s="429"/>
      <c r="C446" s="317"/>
      <c r="D446" s="316"/>
      <c r="E446" s="331"/>
      <c r="F446" s="316"/>
      <c r="G446" s="331"/>
      <c r="H446" s="316"/>
      <c r="I446" s="331"/>
      <c r="J446" s="316"/>
      <c r="K446" s="331"/>
      <c r="L446" s="316"/>
      <c r="M446" s="7"/>
      <c r="N446" s="206"/>
    </row>
    <row r="447" spans="1:14" s="6" customFormat="1" ht="15" customHeight="1" x14ac:dyDescent="0.25">
      <c r="A447" s="33"/>
      <c r="B447" s="429"/>
      <c r="C447" s="383"/>
      <c r="D447" s="384"/>
      <c r="E447" s="331"/>
      <c r="F447" s="316"/>
      <c r="G447" s="331"/>
      <c r="H447" s="316"/>
      <c r="I447" s="331"/>
      <c r="J447" s="316"/>
      <c r="K447" s="331"/>
      <c r="L447" s="316"/>
      <c r="M447" s="7"/>
      <c r="N447" s="206"/>
    </row>
    <row r="448" spans="1:14" s="6" customFormat="1" ht="15" customHeight="1" x14ac:dyDescent="0.25">
      <c r="A448" s="33"/>
      <c r="B448" s="429"/>
      <c r="C448" s="317"/>
      <c r="D448" s="316"/>
      <c r="E448" s="331"/>
      <c r="F448" s="316"/>
      <c r="G448" s="331"/>
      <c r="H448" s="316"/>
      <c r="I448" s="331"/>
      <c r="J448" s="316"/>
      <c r="K448" s="331"/>
      <c r="L448" s="316"/>
      <c r="M448" s="7"/>
      <c r="N448" s="206"/>
    </row>
    <row r="449" spans="1:14" s="6" customFormat="1" ht="15" customHeight="1" x14ac:dyDescent="0.25">
      <c r="A449" s="33"/>
      <c r="B449" s="429"/>
      <c r="C449" s="317"/>
      <c r="D449" s="316"/>
      <c r="E449" s="378"/>
      <c r="F449" s="379"/>
      <c r="G449" s="331"/>
      <c r="H449" s="316"/>
      <c r="I449" s="331"/>
      <c r="J449" s="316"/>
      <c r="K449" s="331"/>
      <c r="L449" s="316"/>
      <c r="M449" s="7"/>
      <c r="N449" s="206"/>
    </row>
    <row r="450" spans="1:14" s="6" customFormat="1" ht="15" customHeight="1" x14ac:dyDescent="0.25">
      <c r="A450" s="33"/>
      <c r="B450" s="429"/>
      <c r="C450" s="318"/>
      <c r="D450" s="319"/>
      <c r="E450" s="468"/>
      <c r="F450" s="469"/>
      <c r="G450" s="381"/>
      <c r="H450" s="382"/>
      <c r="I450" s="380"/>
      <c r="J450" s="319"/>
      <c r="K450" s="380"/>
      <c r="L450" s="319"/>
      <c r="M450" s="7"/>
      <c r="N450" s="206"/>
    </row>
    <row r="451" spans="1:14" s="6" customFormat="1" ht="15" customHeight="1" x14ac:dyDescent="0.25">
      <c r="A451" s="33"/>
      <c r="B451" s="429" t="s">
        <v>48</v>
      </c>
      <c r="C451" s="210">
        <f>K444+3</f>
        <v>42149</v>
      </c>
      <c r="D451" s="211" t="s">
        <v>47</v>
      </c>
      <c r="E451" s="213">
        <f>C451+1</f>
        <v>42150</v>
      </c>
      <c r="F451" s="214"/>
      <c r="G451" s="213">
        <f>E451+1</f>
        <v>42151</v>
      </c>
      <c r="H451" s="211"/>
      <c r="I451" s="213">
        <f>G451+1</f>
        <v>42152</v>
      </c>
      <c r="J451" s="211"/>
      <c r="K451" s="213">
        <f>I451+1</f>
        <v>42153</v>
      </c>
      <c r="L451" s="211"/>
      <c r="M451" s="7"/>
      <c r="N451" s="206"/>
    </row>
    <row r="452" spans="1:14" s="6" customFormat="1" ht="15" customHeight="1" x14ac:dyDescent="0.25">
      <c r="A452" s="33"/>
      <c r="B452" s="429"/>
      <c r="C452" s="317"/>
      <c r="D452" s="316"/>
      <c r="E452" s="331"/>
      <c r="F452" s="316"/>
      <c r="G452" s="331"/>
      <c r="H452" s="316"/>
      <c r="I452" s="331"/>
      <c r="J452" s="316"/>
      <c r="K452" s="331"/>
      <c r="L452" s="316"/>
      <c r="M452" s="7"/>
      <c r="N452" s="206"/>
    </row>
    <row r="453" spans="1:14" s="6" customFormat="1" ht="15" customHeight="1" x14ac:dyDescent="0.25">
      <c r="A453" s="33"/>
      <c r="B453" s="429"/>
      <c r="C453" s="317"/>
      <c r="D453" s="316"/>
      <c r="E453" s="331"/>
      <c r="F453" s="316"/>
      <c r="G453" s="331"/>
      <c r="H453" s="316"/>
      <c r="I453" s="331"/>
      <c r="J453" s="316"/>
      <c r="K453" s="331"/>
      <c r="L453" s="316"/>
      <c r="M453" s="7"/>
      <c r="N453" s="206"/>
    </row>
    <row r="454" spans="1:14" s="6" customFormat="1" ht="15" customHeight="1" x14ac:dyDescent="0.25">
      <c r="A454" s="33"/>
      <c r="B454" s="429"/>
      <c r="C454" s="317"/>
      <c r="D454" s="316"/>
      <c r="E454" s="331"/>
      <c r="F454" s="316"/>
      <c r="G454" s="331"/>
      <c r="H454" s="316"/>
      <c r="I454" s="331"/>
      <c r="J454" s="316"/>
      <c r="K454" s="331"/>
      <c r="L454" s="316"/>
      <c r="M454" s="7"/>
      <c r="N454" s="206"/>
    </row>
    <row r="455" spans="1:14" s="6" customFormat="1" ht="15" customHeight="1" x14ac:dyDescent="0.25">
      <c r="A455" s="33"/>
      <c r="B455" s="429"/>
      <c r="C455" s="317"/>
      <c r="D455" s="316"/>
      <c r="E455" s="331"/>
      <c r="F455" s="316"/>
      <c r="G455" s="331"/>
      <c r="H455" s="316"/>
      <c r="I455" s="317"/>
      <c r="J455" s="316"/>
      <c r="K455" s="317"/>
      <c r="L455" s="316"/>
      <c r="M455" s="7"/>
      <c r="N455" s="206"/>
    </row>
    <row r="456" spans="1:14" s="6" customFormat="1" ht="15" customHeight="1" x14ac:dyDescent="0.25">
      <c r="A456" s="33"/>
      <c r="B456" s="429"/>
      <c r="C456" s="317"/>
      <c r="D456" s="316"/>
      <c r="E456" s="331"/>
      <c r="F456" s="316"/>
      <c r="G456" s="331"/>
      <c r="H456" s="316"/>
      <c r="I456" s="383"/>
      <c r="J456" s="316"/>
      <c r="K456" s="383"/>
      <c r="L456" s="316"/>
      <c r="M456" s="7"/>
      <c r="N456" s="206"/>
    </row>
    <row r="457" spans="1:14" s="6" customFormat="1" ht="15" customHeight="1" x14ac:dyDescent="0.25">
      <c r="A457" s="33"/>
      <c r="B457" s="430"/>
      <c r="C457" s="318"/>
      <c r="D457" s="319"/>
      <c r="E457" s="380"/>
      <c r="F457" s="319"/>
      <c r="G457" s="381"/>
      <c r="H457" s="382"/>
      <c r="I457" s="380"/>
      <c r="J457" s="319"/>
      <c r="K457" s="380"/>
      <c r="L457" s="319"/>
      <c r="M457" s="7"/>
      <c r="N457" s="206"/>
    </row>
    <row r="458" spans="1:14" s="6" customFormat="1" ht="15" customHeight="1" x14ac:dyDescent="0.25">
      <c r="A458" s="33"/>
      <c r="B458" s="435"/>
      <c r="C458" s="210">
        <f>K451+3</f>
        <v>42156</v>
      </c>
      <c r="D458" s="211"/>
      <c r="E458" s="213">
        <f>C458+1</f>
        <v>42157</v>
      </c>
      <c r="F458" s="211"/>
      <c r="G458" s="213">
        <f>E458+1</f>
        <v>42158</v>
      </c>
      <c r="H458" s="211"/>
      <c r="I458" s="213">
        <f>G458+1</f>
        <v>42159</v>
      </c>
      <c r="J458" s="211"/>
      <c r="K458" s="213">
        <f>I458+1</f>
        <v>42160</v>
      </c>
      <c r="L458" s="211"/>
      <c r="M458" s="7"/>
      <c r="N458" s="206"/>
    </row>
    <row r="459" spans="1:14" s="6" customFormat="1" ht="15" customHeight="1" x14ac:dyDescent="0.25">
      <c r="A459" s="33"/>
      <c r="B459" s="434"/>
      <c r="C459" s="317"/>
      <c r="D459" s="316"/>
      <c r="E459" s="331"/>
      <c r="F459" s="316"/>
      <c r="G459" s="331"/>
      <c r="H459" s="316"/>
      <c r="I459" s="428"/>
      <c r="J459" s="431"/>
      <c r="K459" s="428"/>
      <c r="L459" s="431"/>
      <c r="M459" s="7"/>
      <c r="N459" s="206"/>
    </row>
    <row r="460" spans="1:14" s="6" customFormat="1" ht="15" customHeight="1" x14ac:dyDescent="0.25">
      <c r="A460" s="33"/>
      <c r="B460" s="434"/>
      <c r="C460" s="317"/>
      <c r="D460" s="316"/>
      <c r="E460" s="331"/>
      <c r="F460" s="316"/>
      <c r="G460" s="331"/>
      <c r="H460" s="316"/>
      <c r="I460" s="331"/>
      <c r="J460" s="316"/>
      <c r="K460" s="331"/>
      <c r="L460" s="316"/>
      <c r="M460" s="7"/>
      <c r="N460" s="206"/>
    </row>
    <row r="461" spans="1:14" s="6" customFormat="1" ht="15" customHeight="1" x14ac:dyDescent="0.25">
      <c r="A461" s="33"/>
      <c r="B461" s="434"/>
      <c r="C461" s="383"/>
      <c r="D461" s="384"/>
      <c r="E461" s="331"/>
      <c r="F461" s="316"/>
      <c r="G461" s="386" t="s">
        <v>168</v>
      </c>
      <c r="H461" s="316"/>
      <c r="I461" s="331"/>
      <c r="J461" s="316"/>
      <c r="K461" s="331"/>
      <c r="L461" s="316"/>
      <c r="M461" s="7"/>
      <c r="N461" s="206"/>
    </row>
    <row r="462" spans="1:14" s="6" customFormat="1" ht="15" customHeight="1" x14ac:dyDescent="0.25">
      <c r="A462" s="33"/>
      <c r="B462" s="434"/>
      <c r="C462" s="317"/>
      <c r="D462" s="316"/>
      <c r="E462" s="331"/>
      <c r="F462" s="316"/>
      <c r="G462" s="331"/>
      <c r="H462" s="316"/>
      <c r="I462" s="331"/>
      <c r="J462" s="316"/>
      <c r="K462" s="331"/>
      <c r="L462" s="316"/>
      <c r="M462" s="7"/>
      <c r="N462" s="206"/>
    </row>
    <row r="463" spans="1:14" s="6" customFormat="1" ht="15" customHeight="1" x14ac:dyDescent="0.25">
      <c r="A463" s="33"/>
      <c r="B463" s="434"/>
      <c r="C463" s="317"/>
      <c r="D463" s="316"/>
      <c r="E463" s="331"/>
      <c r="F463" s="316"/>
      <c r="G463" s="331"/>
      <c r="H463" s="316"/>
      <c r="I463" s="331"/>
      <c r="J463" s="316"/>
      <c r="K463" s="331"/>
      <c r="L463" s="316"/>
      <c r="M463" s="7"/>
      <c r="N463" s="206"/>
    </row>
    <row r="464" spans="1:14" s="6" customFormat="1" ht="15" customHeight="1" x14ac:dyDescent="0.25">
      <c r="A464" s="33"/>
      <c r="B464" s="434"/>
      <c r="C464" s="318"/>
      <c r="D464" s="319"/>
      <c r="E464" s="380"/>
      <c r="F464" s="319"/>
      <c r="G464" s="381"/>
      <c r="H464" s="382"/>
      <c r="I464" s="380"/>
      <c r="J464" s="319"/>
      <c r="K464" s="380"/>
      <c r="L464" s="319"/>
      <c r="M464" s="7"/>
      <c r="N464" s="206"/>
    </row>
    <row r="465" spans="1:14" s="6" customFormat="1" ht="15" customHeight="1" x14ac:dyDescent="0.25">
      <c r="A465" s="33"/>
      <c r="B465" s="434"/>
      <c r="C465" s="210">
        <f>K458+3</f>
        <v>42163</v>
      </c>
      <c r="D465" s="211"/>
      <c r="E465" s="213">
        <f>C465+1</f>
        <v>42164</v>
      </c>
      <c r="F465" s="211"/>
      <c r="G465" s="213">
        <f>E465+1</f>
        <v>42165</v>
      </c>
      <c r="H465" s="211"/>
      <c r="I465" s="213">
        <f>G465+1</f>
        <v>42166</v>
      </c>
      <c r="J465" s="211"/>
      <c r="K465" s="213">
        <f>I465+1</f>
        <v>42167</v>
      </c>
      <c r="L465" s="211"/>
      <c r="M465" s="7"/>
      <c r="N465" s="206"/>
    </row>
    <row r="466" spans="1:14" s="6" customFormat="1" ht="15" customHeight="1" x14ac:dyDescent="0.25">
      <c r="A466" s="33"/>
      <c r="B466" s="434"/>
      <c r="C466" s="317"/>
      <c r="D466" s="316"/>
      <c r="E466" s="331"/>
      <c r="F466" s="316"/>
      <c r="G466" s="331"/>
      <c r="H466" s="316"/>
      <c r="I466" s="331"/>
      <c r="J466" s="316"/>
      <c r="K466" s="331"/>
      <c r="L466" s="316"/>
      <c r="M466" s="7"/>
      <c r="N466" s="206"/>
    </row>
    <row r="467" spans="1:14" s="6" customFormat="1" ht="15" customHeight="1" x14ac:dyDescent="0.25">
      <c r="A467" s="33"/>
      <c r="B467" s="434"/>
      <c r="C467" s="317"/>
      <c r="D467" s="316"/>
      <c r="E467" s="331"/>
      <c r="F467" s="316"/>
      <c r="G467" s="331"/>
      <c r="H467" s="316"/>
      <c r="I467" s="331"/>
      <c r="J467" s="316"/>
      <c r="K467" s="331"/>
      <c r="L467" s="316"/>
      <c r="M467" s="7"/>
      <c r="N467" s="206"/>
    </row>
    <row r="468" spans="1:14" s="6" customFormat="1" ht="15" customHeight="1" x14ac:dyDescent="0.25">
      <c r="A468" s="33"/>
      <c r="B468" s="434"/>
      <c r="C468" s="383"/>
      <c r="D468" s="384"/>
      <c r="E468" s="331"/>
      <c r="F468" s="316"/>
      <c r="G468" s="331"/>
      <c r="H468" s="316"/>
      <c r="I468" s="428"/>
      <c r="J468" s="431"/>
      <c r="K468" s="428"/>
      <c r="L468" s="431"/>
      <c r="M468" s="7"/>
      <c r="N468" s="206"/>
    </row>
    <row r="469" spans="1:14" s="6" customFormat="1" ht="15" customHeight="1" x14ac:dyDescent="0.25">
      <c r="A469" s="33"/>
      <c r="B469" s="434"/>
      <c r="C469" s="317"/>
      <c r="D469" s="316"/>
      <c r="E469" s="331"/>
      <c r="F469" s="316"/>
      <c r="G469" s="331"/>
      <c r="H469" s="316"/>
      <c r="I469" s="331"/>
      <c r="J469" s="316"/>
      <c r="K469" s="331"/>
      <c r="L469" s="316"/>
      <c r="M469" s="7"/>
      <c r="N469" s="206"/>
    </row>
    <row r="470" spans="1:14" s="6" customFormat="1" ht="15" customHeight="1" x14ac:dyDescent="0.25">
      <c r="A470" s="33"/>
      <c r="B470" s="434"/>
      <c r="C470" s="317"/>
      <c r="D470" s="316"/>
      <c r="E470" s="331"/>
      <c r="F470" s="316"/>
      <c r="G470" s="331"/>
      <c r="H470" s="316"/>
      <c r="I470" s="331"/>
      <c r="J470" s="316"/>
      <c r="K470" s="331"/>
      <c r="L470" s="316"/>
      <c r="M470" s="7"/>
      <c r="N470" s="206"/>
    </row>
    <row r="471" spans="1:14" s="6" customFormat="1" ht="15" customHeight="1" x14ac:dyDescent="0.25">
      <c r="A471" s="33"/>
      <c r="B471" s="434"/>
      <c r="C471" s="318"/>
      <c r="D471" s="319"/>
      <c r="E471" s="380"/>
      <c r="F471" s="319"/>
      <c r="G471" s="381"/>
      <c r="H471" s="382"/>
      <c r="I471" s="380"/>
      <c r="J471" s="319"/>
      <c r="K471" s="380"/>
      <c r="L471" s="319"/>
      <c r="M471" s="7"/>
      <c r="N471" s="206"/>
    </row>
    <row r="472" spans="1:14" s="6" customFormat="1" ht="15" customHeight="1" x14ac:dyDescent="0.25">
      <c r="A472" s="33"/>
      <c r="B472" s="434"/>
      <c r="C472" s="210">
        <f>K465+3</f>
        <v>42170</v>
      </c>
      <c r="D472" s="211"/>
      <c r="E472" s="213">
        <f>C472+1</f>
        <v>42171</v>
      </c>
      <c r="F472" s="211"/>
      <c r="G472" s="213">
        <f>E472+1</f>
        <v>42172</v>
      </c>
      <c r="H472" s="211"/>
      <c r="I472" s="213">
        <f>G472+1</f>
        <v>42173</v>
      </c>
      <c r="J472" s="211"/>
      <c r="K472" s="213">
        <f>I472+1</f>
        <v>42174</v>
      </c>
      <c r="L472" s="211"/>
      <c r="M472" s="7"/>
      <c r="N472" s="206"/>
    </row>
    <row r="473" spans="1:14" s="6" customFormat="1" ht="15" customHeight="1" x14ac:dyDescent="0.25">
      <c r="A473" s="33"/>
      <c r="B473" s="434"/>
      <c r="C473" s="440"/>
      <c r="D473" s="456"/>
      <c r="E473" s="331"/>
      <c r="F473" s="316"/>
      <c r="G473" s="331"/>
      <c r="H473" s="316"/>
      <c r="I473" s="331"/>
      <c r="J473" s="316"/>
      <c r="K473" s="331"/>
      <c r="L473" s="316"/>
      <c r="M473" s="7"/>
      <c r="N473" s="206"/>
    </row>
    <row r="474" spans="1:14" s="6" customFormat="1" ht="15" customHeight="1" x14ac:dyDescent="0.25">
      <c r="A474" s="33"/>
      <c r="B474" s="434"/>
      <c r="C474" s="317"/>
      <c r="D474" s="316"/>
      <c r="E474" s="331"/>
      <c r="F474" s="316"/>
      <c r="G474" s="331"/>
      <c r="H474" s="316"/>
      <c r="I474" s="331"/>
      <c r="J474" s="316"/>
      <c r="K474" s="331"/>
      <c r="L474" s="316"/>
      <c r="M474" s="7"/>
      <c r="N474" s="206"/>
    </row>
    <row r="475" spans="1:14" s="6" customFormat="1" ht="15" customHeight="1" x14ac:dyDescent="0.25">
      <c r="A475" s="33"/>
      <c r="B475" s="434"/>
      <c r="C475" s="317"/>
      <c r="D475" s="316"/>
      <c r="E475" s="331"/>
      <c r="F475" s="316"/>
      <c r="G475" s="331"/>
      <c r="H475" s="316"/>
      <c r="I475" s="331"/>
      <c r="J475" s="316"/>
      <c r="K475" s="331"/>
      <c r="L475" s="316"/>
      <c r="M475" s="7"/>
      <c r="N475" s="206"/>
    </row>
    <row r="476" spans="1:14" s="6" customFormat="1" ht="15" customHeight="1" x14ac:dyDescent="0.25">
      <c r="A476" s="33"/>
      <c r="B476" s="434"/>
      <c r="C476" s="386"/>
      <c r="D476" s="316"/>
      <c r="E476" s="386"/>
      <c r="F476" s="316"/>
      <c r="G476" s="331"/>
      <c r="H476" s="316"/>
      <c r="I476" s="331"/>
      <c r="J476" s="316"/>
      <c r="K476" s="331"/>
      <c r="L476" s="316"/>
      <c r="M476" s="7"/>
      <c r="N476" s="206"/>
    </row>
    <row r="477" spans="1:14" s="6" customFormat="1" ht="15" customHeight="1" x14ac:dyDescent="0.25">
      <c r="A477" s="33"/>
      <c r="B477" s="434"/>
      <c r="C477" s="317"/>
      <c r="D477" s="316"/>
      <c r="E477" s="331"/>
      <c r="F477" s="316"/>
      <c r="G477" s="331"/>
      <c r="H477" s="316"/>
      <c r="I477" s="331"/>
      <c r="J477" s="316"/>
      <c r="K477" s="331"/>
      <c r="L477" s="316"/>
      <c r="M477" s="7"/>
      <c r="N477" s="206"/>
    </row>
    <row r="478" spans="1:14" s="6" customFormat="1" ht="15" customHeight="1" x14ac:dyDescent="0.25">
      <c r="A478" s="33"/>
      <c r="B478" s="434"/>
      <c r="C478" s="318"/>
      <c r="D478" s="319"/>
      <c r="E478" s="380"/>
      <c r="F478" s="319"/>
      <c r="G478" s="381"/>
      <c r="H478" s="382"/>
      <c r="I478" s="380"/>
      <c r="J478" s="319"/>
      <c r="K478" s="380"/>
      <c r="L478" s="319"/>
      <c r="M478" s="7"/>
      <c r="N478" s="206"/>
    </row>
    <row r="479" spans="1:14" s="6" customFormat="1" ht="15" customHeight="1" x14ac:dyDescent="0.25">
      <c r="A479" s="33"/>
      <c r="B479" s="434"/>
      <c r="C479" s="210">
        <f>K472+3</f>
        <v>42177</v>
      </c>
      <c r="D479" s="211"/>
      <c r="E479" s="213">
        <f>C479+1</f>
        <v>42178</v>
      </c>
      <c r="F479" s="211"/>
      <c r="G479" s="213">
        <f>E479+1</f>
        <v>42179</v>
      </c>
      <c r="H479" s="211"/>
      <c r="I479" s="213">
        <f>G479+1</f>
        <v>42180</v>
      </c>
      <c r="J479" s="211"/>
      <c r="K479" s="213">
        <f>I479+1</f>
        <v>42181</v>
      </c>
      <c r="L479" s="211"/>
      <c r="M479" s="7"/>
      <c r="N479" s="206"/>
    </row>
    <row r="480" spans="1:14" s="6" customFormat="1" ht="15" customHeight="1" x14ac:dyDescent="0.25">
      <c r="A480" s="33"/>
      <c r="B480" s="434"/>
      <c r="C480" s="317"/>
      <c r="D480" s="316"/>
      <c r="E480" s="331"/>
      <c r="F480" s="316"/>
      <c r="G480" s="386"/>
      <c r="H480" s="316"/>
      <c r="I480" s="331"/>
      <c r="J480" s="316"/>
      <c r="K480" s="331"/>
      <c r="L480" s="316"/>
      <c r="M480" s="7"/>
      <c r="N480" s="206"/>
    </row>
    <row r="481" spans="1:14" s="6" customFormat="1" ht="15" customHeight="1" x14ac:dyDescent="0.25">
      <c r="A481" s="33"/>
      <c r="B481" s="434"/>
      <c r="C481" s="317"/>
      <c r="D481" s="316"/>
      <c r="E481" s="331"/>
      <c r="F481" s="316"/>
      <c r="G481" s="331"/>
      <c r="H481" s="316"/>
      <c r="I481" s="331"/>
      <c r="J481" s="316"/>
      <c r="K481" s="331"/>
      <c r="L481" s="316"/>
      <c r="M481" s="7"/>
      <c r="N481" s="206"/>
    </row>
    <row r="482" spans="1:14" s="6" customFormat="1" ht="15" customHeight="1" x14ac:dyDescent="0.25">
      <c r="A482" s="33"/>
      <c r="B482" s="434"/>
      <c r="C482" s="383"/>
      <c r="D482" s="384"/>
      <c r="E482" s="317"/>
      <c r="F482" s="316"/>
      <c r="G482" s="317"/>
      <c r="H482" s="316"/>
      <c r="I482" s="331"/>
      <c r="J482" s="316"/>
      <c r="K482" s="331"/>
      <c r="L482" s="316"/>
      <c r="M482" s="7"/>
      <c r="N482" s="206"/>
    </row>
    <row r="483" spans="1:14" s="6" customFormat="1" ht="15" customHeight="1" x14ac:dyDescent="0.25">
      <c r="A483" s="33"/>
      <c r="B483" s="434"/>
      <c r="C483" s="317"/>
      <c r="D483" s="316"/>
      <c r="E483" s="317"/>
      <c r="F483" s="316"/>
      <c r="G483" s="471"/>
      <c r="H483" s="316"/>
      <c r="I483" s="331"/>
      <c r="J483" s="316"/>
      <c r="K483" s="331"/>
      <c r="L483" s="316"/>
      <c r="M483" s="7"/>
      <c r="N483" s="206"/>
    </row>
    <row r="484" spans="1:14" s="6" customFormat="1" ht="15" customHeight="1" x14ac:dyDescent="0.25">
      <c r="A484" s="33"/>
      <c r="B484" s="434"/>
      <c r="C484" s="317"/>
      <c r="D484" s="316"/>
      <c r="E484" s="386"/>
      <c r="F484" s="316"/>
      <c r="G484" s="317"/>
      <c r="H484" s="316"/>
      <c r="I484" s="331"/>
      <c r="J484" s="316"/>
      <c r="K484" s="331"/>
      <c r="L484" s="316"/>
      <c r="M484" s="7"/>
      <c r="N484" s="206"/>
    </row>
    <row r="485" spans="1:14" s="6" customFormat="1" ht="15" customHeight="1" x14ac:dyDescent="0.25">
      <c r="A485" s="33"/>
      <c r="B485" s="434"/>
      <c r="C485" s="318"/>
      <c r="D485" s="319"/>
      <c r="E485" s="380"/>
      <c r="F485" s="319"/>
      <c r="G485" s="381"/>
      <c r="H485" s="382"/>
      <c r="I485" s="380"/>
      <c r="J485" s="319"/>
      <c r="K485" s="380"/>
      <c r="L485" s="319"/>
      <c r="M485" s="7"/>
      <c r="N485" s="206"/>
    </row>
    <row r="486" spans="1:14" s="6" customFormat="1" ht="15" customHeight="1" x14ac:dyDescent="0.25">
      <c r="A486" s="33"/>
      <c r="B486" s="434" t="s">
        <v>46</v>
      </c>
      <c r="C486" s="210">
        <f>K479+3</f>
        <v>42184</v>
      </c>
      <c r="D486" s="211"/>
      <c r="E486" s="213">
        <f>C486+1</f>
        <v>42185</v>
      </c>
      <c r="F486" s="211"/>
      <c r="G486" s="213">
        <f>E486+1</f>
        <v>42186</v>
      </c>
      <c r="H486" s="211"/>
      <c r="I486" s="213">
        <f>G486+1</f>
        <v>42187</v>
      </c>
      <c r="J486" s="211"/>
      <c r="K486" s="213">
        <f>I486+1</f>
        <v>42188</v>
      </c>
      <c r="L486" s="211" t="s">
        <v>42</v>
      </c>
      <c r="M486" s="7"/>
      <c r="N486" s="206"/>
    </row>
    <row r="487" spans="1:14" s="6" customFormat="1" ht="15" customHeight="1" x14ac:dyDescent="0.25">
      <c r="A487" s="33"/>
      <c r="B487" s="434"/>
      <c r="C487" s="317"/>
      <c r="D487" s="316"/>
      <c r="E487" s="331"/>
      <c r="F487" s="316"/>
      <c r="G487" s="331"/>
      <c r="H487" s="316"/>
      <c r="I487" s="331"/>
      <c r="J487" s="316"/>
      <c r="K487" s="331"/>
      <c r="L487" s="316"/>
      <c r="M487" s="7"/>
      <c r="N487" s="206"/>
    </row>
    <row r="488" spans="1:14" s="6" customFormat="1" ht="15" customHeight="1" x14ac:dyDescent="0.25">
      <c r="A488" s="33"/>
      <c r="B488" s="434"/>
      <c r="C488" s="317"/>
      <c r="D488" s="316"/>
      <c r="E488" s="331"/>
      <c r="F488" s="316"/>
      <c r="G488" s="331"/>
      <c r="H488" s="316"/>
      <c r="I488" s="331"/>
      <c r="J488" s="316"/>
      <c r="K488" s="331"/>
      <c r="L488" s="316"/>
      <c r="M488" s="7"/>
      <c r="N488" s="206"/>
    </row>
    <row r="489" spans="1:14" s="6" customFormat="1" ht="15" customHeight="1" x14ac:dyDescent="0.25">
      <c r="A489" s="33"/>
      <c r="B489" s="434"/>
      <c r="C489" s="317"/>
      <c r="D489" s="316"/>
      <c r="E489" s="331"/>
      <c r="F489" s="316"/>
      <c r="G489" s="331"/>
      <c r="H489" s="316"/>
      <c r="I489" s="459"/>
      <c r="J489" s="316"/>
      <c r="K489" s="459"/>
      <c r="L489" s="316"/>
      <c r="M489" s="7"/>
      <c r="N489" s="206"/>
    </row>
    <row r="490" spans="1:14" s="6" customFormat="1" ht="15" customHeight="1" x14ac:dyDescent="0.25">
      <c r="A490" s="33"/>
      <c r="B490" s="434"/>
      <c r="C490" s="317"/>
      <c r="D490" s="316"/>
      <c r="E490" s="331"/>
      <c r="F490" s="316"/>
      <c r="G490" s="331"/>
      <c r="H490" s="316"/>
      <c r="I490" s="459"/>
      <c r="J490" s="316"/>
      <c r="K490" s="459"/>
      <c r="L490" s="316"/>
      <c r="M490" s="7"/>
      <c r="N490" s="206"/>
    </row>
    <row r="491" spans="1:14" s="6" customFormat="1" ht="15" customHeight="1" x14ac:dyDescent="0.25">
      <c r="A491" s="33"/>
      <c r="B491" s="434"/>
      <c r="C491" s="317"/>
      <c r="D491" s="316"/>
      <c r="E491" s="317"/>
      <c r="F491" s="316"/>
      <c r="G491" s="331"/>
      <c r="H491" s="316"/>
      <c r="I491" s="331"/>
      <c r="J491" s="316"/>
      <c r="K491" s="331"/>
      <c r="L491" s="316"/>
      <c r="M491" s="7"/>
      <c r="N491" s="206"/>
    </row>
    <row r="492" spans="1:14" s="6" customFormat="1" ht="15" customHeight="1" x14ac:dyDescent="0.25">
      <c r="A492" s="33"/>
      <c r="B492" s="434"/>
      <c r="C492" s="318"/>
      <c r="D492" s="319"/>
      <c r="E492" s="380"/>
      <c r="F492" s="319"/>
      <c r="G492" s="381"/>
      <c r="H492" s="382"/>
      <c r="I492" s="380"/>
      <c r="J492" s="319"/>
      <c r="K492" s="380"/>
      <c r="L492" s="319"/>
      <c r="M492" s="7"/>
      <c r="N492" s="206"/>
    </row>
    <row r="493" spans="1:14" s="6" customFormat="1" ht="15" customHeight="1" x14ac:dyDescent="0.25">
      <c r="A493" s="33"/>
      <c r="B493" s="441"/>
      <c r="C493" s="210">
        <f>K486+3</f>
        <v>42191</v>
      </c>
      <c r="D493" s="211"/>
      <c r="E493" s="213">
        <f>C493+1</f>
        <v>42192</v>
      </c>
      <c r="F493" s="211"/>
      <c r="G493" s="213">
        <f>E493+1</f>
        <v>42193</v>
      </c>
      <c r="H493" s="211"/>
      <c r="I493" s="213">
        <f>G493+1</f>
        <v>42194</v>
      </c>
      <c r="J493" s="211"/>
      <c r="K493" s="213">
        <f>I493+1</f>
        <v>42195</v>
      </c>
      <c r="L493" s="211"/>
      <c r="M493" s="7"/>
      <c r="N493" s="206"/>
    </row>
    <row r="494" spans="1:14" s="6" customFormat="1" ht="15" customHeight="1" x14ac:dyDescent="0.25">
      <c r="A494" s="33"/>
      <c r="B494" s="429"/>
      <c r="C494" s="317"/>
      <c r="D494" s="316"/>
      <c r="E494" s="331"/>
      <c r="F494" s="316"/>
      <c r="G494" s="331"/>
      <c r="H494" s="316"/>
      <c r="I494" s="331"/>
      <c r="J494" s="316"/>
      <c r="K494" s="331"/>
      <c r="L494" s="316"/>
      <c r="M494" s="7"/>
      <c r="N494" s="206"/>
    </row>
    <row r="495" spans="1:14" s="6" customFormat="1" ht="15" customHeight="1" x14ac:dyDescent="0.25">
      <c r="A495" s="33"/>
      <c r="B495" s="429"/>
      <c r="C495" s="383" t="s">
        <v>168</v>
      </c>
      <c r="D495" s="384"/>
      <c r="E495" s="331"/>
      <c r="F495" s="316"/>
      <c r="G495" s="331"/>
      <c r="H495" s="316"/>
      <c r="I495" s="331"/>
      <c r="J495" s="316"/>
      <c r="K495" s="331"/>
      <c r="L495" s="316"/>
      <c r="M495" s="7"/>
      <c r="N495" s="206"/>
    </row>
    <row r="496" spans="1:14" s="6" customFormat="1" ht="15" customHeight="1" x14ac:dyDescent="0.25">
      <c r="A496" s="33"/>
      <c r="B496" s="429"/>
      <c r="C496" s="317"/>
      <c r="D496" s="316"/>
      <c r="E496" s="331"/>
      <c r="F496" s="316"/>
      <c r="G496" s="331"/>
      <c r="H496" s="316"/>
      <c r="I496" s="331"/>
      <c r="J496" s="316"/>
      <c r="K496" s="331"/>
      <c r="L496" s="316"/>
      <c r="M496" s="7"/>
      <c r="N496" s="206"/>
    </row>
    <row r="497" spans="1:14" s="6" customFormat="1" ht="15" customHeight="1" x14ac:dyDescent="0.25">
      <c r="A497" s="33"/>
      <c r="B497" s="429"/>
      <c r="C497" s="317"/>
      <c r="D497" s="316"/>
      <c r="E497" s="331"/>
      <c r="F497" s="316"/>
      <c r="G497" s="331"/>
      <c r="H497" s="316"/>
      <c r="I497" s="331"/>
      <c r="J497" s="316"/>
      <c r="K497" s="331"/>
      <c r="L497" s="316"/>
      <c r="M497" s="7"/>
      <c r="N497" s="206"/>
    </row>
    <row r="498" spans="1:14" s="6" customFormat="1" ht="15" customHeight="1" x14ac:dyDescent="0.25">
      <c r="A498" s="33"/>
      <c r="B498" s="429"/>
      <c r="C498" s="317"/>
      <c r="D498" s="316"/>
      <c r="E498" s="331"/>
      <c r="F498" s="316"/>
      <c r="G498" s="331"/>
      <c r="H498" s="316"/>
      <c r="I498" s="331"/>
      <c r="J498" s="316"/>
      <c r="K498" s="331"/>
      <c r="L498" s="316"/>
      <c r="M498" s="7"/>
      <c r="N498" s="206"/>
    </row>
    <row r="499" spans="1:14" s="6" customFormat="1" ht="15" customHeight="1" x14ac:dyDescent="0.25">
      <c r="A499" s="33"/>
      <c r="B499" s="429"/>
      <c r="C499" s="318"/>
      <c r="D499" s="319"/>
      <c r="E499" s="380"/>
      <c r="F499" s="319"/>
      <c r="G499" s="381"/>
      <c r="H499" s="382"/>
      <c r="I499" s="380"/>
      <c r="J499" s="319"/>
      <c r="K499" s="380"/>
      <c r="L499" s="319"/>
      <c r="M499" s="7"/>
      <c r="N499" s="206"/>
    </row>
    <row r="500" spans="1:14" s="6" customFormat="1" ht="15" customHeight="1" x14ac:dyDescent="0.25">
      <c r="A500" s="33"/>
      <c r="B500" s="429"/>
      <c r="C500" s="210">
        <f>K493+3</f>
        <v>42198</v>
      </c>
      <c r="D500" s="211"/>
      <c r="E500" s="213">
        <f>C500+1</f>
        <v>42199</v>
      </c>
      <c r="F500" s="211"/>
      <c r="G500" s="213">
        <f>E500+1</f>
        <v>42200</v>
      </c>
      <c r="H500" s="211"/>
      <c r="I500" s="213">
        <f>G500+1</f>
        <v>42201</v>
      </c>
      <c r="J500" s="211"/>
      <c r="K500" s="213">
        <f>I500+1</f>
        <v>42202</v>
      </c>
      <c r="L500" s="211"/>
      <c r="M500" s="7"/>
      <c r="N500" s="206"/>
    </row>
    <row r="501" spans="1:14" s="6" customFormat="1" ht="15" customHeight="1" x14ac:dyDescent="0.25">
      <c r="A501" s="33"/>
      <c r="B501" s="429"/>
      <c r="C501" s="317"/>
      <c r="D501" s="316"/>
      <c r="E501" s="459"/>
      <c r="F501" s="316"/>
      <c r="G501" s="331"/>
      <c r="H501" s="316"/>
      <c r="I501" s="331"/>
      <c r="J501" s="316"/>
      <c r="K501" s="331"/>
      <c r="L501" s="316"/>
      <c r="M501" s="7"/>
      <c r="N501" s="206"/>
    </row>
    <row r="502" spans="1:14" s="6" customFormat="1" ht="15" customHeight="1" x14ac:dyDescent="0.25">
      <c r="A502" s="33"/>
      <c r="B502" s="429"/>
      <c r="C502" s="317"/>
      <c r="D502" s="316"/>
      <c r="E502" s="331"/>
      <c r="F502" s="316"/>
      <c r="G502" s="331"/>
      <c r="H502" s="316"/>
      <c r="I502" s="331"/>
      <c r="J502" s="316"/>
      <c r="K502" s="331"/>
      <c r="L502" s="316"/>
      <c r="M502" s="7"/>
      <c r="N502" s="206"/>
    </row>
    <row r="503" spans="1:14" s="6" customFormat="1" ht="15" customHeight="1" x14ac:dyDescent="0.25">
      <c r="A503" s="33"/>
      <c r="B503" s="429"/>
      <c r="C503" s="317"/>
      <c r="D503" s="316"/>
      <c r="E503" s="331"/>
      <c r="F503" s="316"/>
      <c r="G503" s="331"/>
      <c r="H503" s="316"/>
      <c r="I503" s="331"/>
      <c r="J503" s="316"/>
      <c r="K503" s="331"/>
      <c r="L503" s="316"/>
      <c r="M503" s="7"/>
      <c r="N503" s="206"/>
    </row>
    <row r="504" spans="1:14" s="6" customFormat="1" ht="15" customHeight="1" x14ac:dyDescent="0.25">
      <c r="A504" s="33"/>
      <c r="B504" s="429"/>
      <c r="C504" s="383" t="s">
        <v>168</v>
      </c>
      <c r="D504" s="384"/>
      <c r="E504" s="331"/>
      <c r="F504" s="316"/>
      <c r="G504" s="331"/>
      <c r="H504" s="316"/>
      <c r="I504" s="331"/>
      <c r="J504" s="316"/>
      <c r="K504" s="331"/>
      <c r="L504" s="316"/>
      <c r="M504" s="7"/>
      <c r="N504" s="206"/>
    </row>
    <row r="505" spans="1:14" s="6" customFormat="1" ht="15" customHeight="1" x14ac:dyDescent="0.25">
      <c r="A505" s="33"/>
      <c r="B505" s="429"/>
      <c r="C505" s="317"/>
      <c r="D505" s="316"/>
      <c r="E505" s="331"/>
      <c r="F505" s="316"/>
      <c r="G505" s="331"/>
      <c r="H505" s="316"/>
      <c r="I505" s="331"/>
      <c r="J505" s="316"/>
      <c r="K505" s="331"/>
      <c r="L505" s="316"/>
      <c r="M505" s="7"/>
      <c r="N505" s="206"/>
    </row>
    <row r="506" spans="1:14" s="6" customFormat="1" ht="15" customHeight="1" x14ac:dyDescent="0.25">
      <c r="A506" s="33"/>
      <c r="B506" s="429"/>
      <c r="C506" s="318"/>
      <c r="D506" s="319"/>
      <c r="E506" s="380"/>
      <c r="F506" s="319"/>
      <c r="G506" s="381"/>
      <c r="H506" s="382"/>
      <c r="I506" s="380"/>
      <c r="J506" s="319"/>
      <c r="K506" s="380"/>
      <c r="L506" s="319"/>
      <c r="M506" s="7"/>
      <c r="N506" s="206"/>
    </row>
    <row r="507" spans="1:14" s="6" customFormat="1" ht="15" customHeight="1" x14ac:dyDescent="0.25">
      <c r="A507" s="33"/>
      <c r="B507" s="429"/>
      <c r="C507" s="210">
        <f>K500+3</f>
        <v>42205</v>
      </c>
      <c r="D507" s="211"/>
      <c r="E507" s="213">
        <f>C507+1</f>
        <v>42206</v>
      </c>
      <c r="F507" s="211"/>
      <c r="G507" s="213">
        <f>E507+1</f>
        <v>42207</v>
      </c>
      <c r="H507" s="211"/>
      <c r="I507" s="213">
        <f>G507+1</f>
        <v>42208</v>
      </c>
      <c r="J507" s="211"/>
      <c r="K507" s="213">
        <f>I507+1</f>
        <v>42209</v>
      </c>
      <c r="L507" s="211"/>
      <c r="M507" s="7"/>
      <c r="N507" s="206"/>
    </row>
    <row r="508" spans="1:14" s="6" customFormat="1" ht="15" customHeight="1" x14ac:dyDescent="0.25">
      <c r="A508" s="33"/>
      <c r="B508" s="429"/>
      <c r="C508" s="383"/>
      <c r="D508" s="384"/>
      <c r="E508" s="459"/>
      <c r="F508" s="316"/>
      <c r="G508" s="331"/>
      <c r="H508" s="316"/>
      <c r="I508" s="331"/>
      <c r="J508" s="316"/>
      <c r="K508" s="331"/>
      <c r="L508" s="316"/>
      <c r="M508" s="7"/>
      <c r="N508" s="206"/>
    </row>
    <row r="509" spans="1:14" s="6" customFormat="1" ht="15" customHeight="1" x14ac:dyDescent="0.25">
      <c r="A509" s="33"/>
      <c r="B509" s="429"/>
      <c r="C509" s="470"/>
      <c r="D509" s="456"/>
      <c r="E509" s="331"/>
      <c r="F509" s="316"/>
      <c r="G509" s="331"/>
      <c r="H509" s="316"/>
      <c r="I509" s="331"/>
      <c r="J509" s="316"/>
      <c r="K509" s="331"/>
      <c r="L509" s="316"/>
      <c r="M509" s="7"/>
      <c r="N509" s="206"/>
    </row>
    <row r="510" spans="1:14" s="6" customFormat="1" ht="15" customHeight="1" x14ac:dyDescent="0.25">
      <c r="A510" s="33"/>
      <c r="B510" s="429"/>
      <c r="C510" s="317"/>
      <c r="D510" s="316"/>
      <c r="E510" s="331"/>
      <c r="F510" s="316"/>
      <c r="G510" s="331"/>
      <c r="H510" s="316"/>
      <c r="I510" s="331"/>
      <c r="J510" s="316"/>
      <c r="K510" s="331"/>
      <c r="L510" s="316"/>
      <c r="M510" s="7"/>
      <c r="N510" s="206"/>
    </row>
    <row r="511" spans="1:14" s="6" customFormat="1" ht="15" customHeight="1" x14ac:dyDescent="0.25">
      <c r="A511" s="33"/>
      <c r="B511" s="429"/>
      <c r="C511" s="317"/>
      <c r="D511" s="316"/>
      <c r="E511" s="331"/>
      <c r="F511" s="316"/>
      <c r="G511" s="331"/>
      <c r="H511" s="316"/>
      <c r="I511" s="331"/>
      <c r="J511" s="316"/>
      <c r="K511" s="331"/>
      <c r="L511" s="316"/>
      <c r="M511" s="7"/>
      <c r="N511" s="206"/>
    </row>
    <row r="512" spans="1:14" s="6" customFormat="1" ht="15" customHeight="1" x14ac:dyDescent="0.25">
      <c r="A512" s="33"/>
      <c r="B512" s="429"/>
      <c r="C512" s="317"/>
      <c r="D512" s="316"/>
      <c r="E512" s="459"/>
      <c r="F512" s="316"/>
      <c r="G512" s="331"/>
      <c r="H512" s="316"/>
      <c r="I512" s="331"/>
      <c r="J512" s="316"/>
      <c r="K512" s="331"/>
      <c r="L512" s="316"/>
      <c r="M512" s="7"/>
      <c r="N512" s="206"/>
    </row>
    <row r="513" spans="1:14" s="6" customFormat="1" ht="15" customHeight="1" x14ac:dyDescent="0.25">
      <c r="A513" s="33"/>
      <c r="B513" s="429"/>
      <c r="C513" s="318"/>
      <c r="D513" s="319"/>
      <c r="E513" s="380"/>
      <c r="F513" s="319"/>
      <c r="G513" s="381"/>
      <c r="H513" s="382"/>
      <c r="I513" s="380"/>
      <c r="J513" s="319"/>
      <c r="K513" s="380"/>
      <c r="L513" s="319"/>
      <c r="M513" s="7"/>
      <c r="N513" s="206"/>
    </row>
    <row r="514" spans="1:14" s="6" customFormat="1" ht="15" customHeight="1" x14ac:dyDescent="0.25">
      <c r="A514" s="33"/>
      <c r="B514" s="429" t="s">
        <v>45</v>
      </c>
      <c r="C514" s="210">
        <f>K507+3</f>
        <v>42212</v>
      </c>
      <c r="D514" s="211"/>
      <c r="E514" s="213">
        <f>C514+1</f>
        <v>42213</v>
      </c>
      <c r="F514" s="211"/>
      <c r="G514" s="213">
        <f>E514+1</f>
        <v>42214</v>
      </c>
      <c r="H514" s="211"/>
      <c r="I514" s="213">
        <f>G514+1</f>
        <v>42215</v>
      </c>
      <c r="J514" s="211"/>
      <c r="K514" s="213">
        <f>I514+1</f>
        <v>42216</v>
      </c>
      <c r="L514" s="211"/>
      <c r="M514" s="7"/>
      <c r="N514" s="206"/>
    </row>
    <row r="515" spans="1:14" s="6" customFormat="1" ht="15" customHeight="1" x14ac:dyDescent="0.25">
      <c r="A515" s="33"/>
      <c r="B515" s="429"/>
      <c r="C515" s="317"/>
      <c r="D515" s="316"/>
      <c r="E515" s="331"/>
      <c r="F515" s="316"/>
      <c r="G515" s="331"/>
      <c r="H515" s="316"/>
      <c r="I515" s="331"/>
      <c r="J515" s="316"/>
      <c r="K515" s="331"/>
      <c r="L515" s="316"/>
      <c r="M515" s="7"/>
      <c r="N515" s="206"/>
    </row>
    <row r="516" spans="1:14" s="6" customFormat="1" ht="15" customHeight="1" x14ac:dyDescent="0.25">
      <c r="A516" s="33"/>
      <c r="B516" s="429"/>
      <c r="C516" s="317"/>
      <c r="D516" s="316"/>
      <c r="E516" s="331"/>
      <c r="F516" s="316"/>
      <c r="G516" s="331"/>
      <c r="H516" s="316"/>
      <c r="I516" s="331"/>
      <c r="J516" s="316"/>
      <c r="K516" s="331"/>
      <c r="L516" s="316"/>
      <c r="M516" s="7"/>
      <c r="N516" s="206"/>
    </row>
    <row r="517" spans="1:14" s="6" customFormat="1" ht="15" customHeight="1" x14ac:dyDescent="0.25">
      <c r="A517" s="33"/>
      <c r="B517" s="429"/>
      <c r="C517" s="383"/>
      <c r="D517" s="384"/>
      <c r="E517" s="331"/>
      <c r="F517" s="316"/>
      <c r="G517" s="331"/>
      <c r="H517" s="316"/>
      <c r="I517" s="331"/>
      <c r="J517" s="316"/>
      <c r="K517" s="331"/>
      <c r="L517" s="316"/>
      <c r="M517" s="7"/>
      <c r="N517" s="206"/>
    </row>
    <row r="518" spans="1:14" s="6" customFormat="1" ht="15" customHeight="1" x14ac:dyDescent="0.25">
      <c r="A518" s="33"/>
      <c r="B518" s="429"/>
      <c r="C518" s="317"/>
      <c r="D518" s="316"/>
      <c r="E518" s="331"/>
      <c r="F518" s="316"/>
      <c r="G518" s="331"/>
      <c r="H518" s="316"/>
      <c r="I518" s="331"/>
      <c r="J518" s="316"/>
      <c r="K518" s="331"/>
      <c r="L518" s="316"/>
      <c r="M518" s="7"/>
      <c r="N518" s="206"/>
    </row>
    <row r="519" spans="1:14" s="6" customFormat="1" ht="15" customHeight="1" x14ac:dyDescent="0.25">
      <c r="A519" s="33"/>
      <c r="B519" s="429"/>
      <c r="C519" s="317"/>
      <c r="D519" s="316"/>
      <c r="E519" s="331"/>
      <c r="F519" s="316"/>
      <c r="G519" s="331"/>
      <c r="H519" s="316"/>
      <c r="I519" s="331"/>
      <c r="J519" s="316"/>
      <c r="K519" s="331"/>
      <c r="L519" s="316"/>
      <c r="M519" s="7"/>
      <c r="N519" s="206"/>
    </row>
    <row r="520" spans="1:14" s="6" customFormat="1" ht="15" customHeight="1" x14ac:dyDescent="0.25">
      <c r="A520" s="33"/>
      <c r="B520" s="430"/>
      <c r="C520" s="318"/>
      <c r="D520" s="319"/>
      <c r="E520" s="380"/>
      <c r="F520" s="319"/>
      <c r="G520" s="381"/>
      <c r="H520" s="382"/>
      <c r="I520" s="380"/>
      <c r="J520" s="319"/>
      <c r="K520" s="380"/>
      <c r="L520" s="319"/>
      <c r="M520" s="7"/>
      <c r="N520" s="206"/>
    </row>
    <row r="521" spans="1:14" s="6" customFormat="1" ht="15" customHeight="1" x14ac:dyDescent="0.25">
      <c r="A521" s="33"/>
      <c r="B521" s="435"/>
      <c r="C521" s="210">
        <f>K514+3</f>
        <v>42219</v>
      </c>
      <c r="D521" s="211"/>
      <c r="E521" s="213">
        <f>C521+1</f>
        <v>42220</v>
      </c>
      <c r="F521" s="211"/>
      <c r="G521" s="213">
        <f>E521+1</f>
        <v>42221</v>
      </c>
      <c r="H521" s="211"/>
      <c r="I521" s="213">
        <f>G521+1</f>
        <v>42222</v>
      </c>
      <c r="J521" s="211"/>
      <c r="K521" s="213">
        <f>I521+1</f>
        <v>42223</v>
      </c>
      <c r="L521" s="211"/>
      <c r="M521" s="7"/>
      <c r="N521" s="206"/>
    </row>
    <row r="522" spans="1:14" s="6" customFormat="1" ht="15" customHeight="1" x14ac:dyDescent="0.25">
      <c r="A522" s="33"/>
      <c r="B522" s="434"/>
      <c r="C522" s="317"/>
      <c r="D522" s="316"/>
      <c r="E522" s="331"/>
      <c r="F522" s="316"/>
      <c r="G522" s="331"/>
      <c r="H522" s="316"/>
      <c r="I522" s="331"/>
      <c r="J522" s="316"/>
      <c r="K522" s="331"/>
      <c r="L522" s="316"/>
      <c r="M522" s="7"/>
      <c r="N522" s="206"/>
    </row>
    <row r="523" spans="1:14" s="6" customFormat="1" ht="15" customHeight="1" x14ac:dyDescent="0.25">
      <c r="A523" s="33"/>
      <c r="B523" s="434"/>
      <c r="C523" s="317"/>
      <c r="D523" s="316"/>
      <c r="E523" s="331"/>
      <c r="F523" s="316"/>
      <c r="G523" s="331"/>
      <c r="H523" s="316"/>
      <c r="I523" s="331"/>
      <c r="J523" s="316"/>
      <c r="K523" s="331"/>
      <c r="L523" s="316"/>
      <c r="M523" s="7"/>
      <c r="N523" s="206"/>
    </row>
    <row r="524" spans="1:14" s="6" customFormat="1" ht="15" customHeight="1" x14ac:dyDescent="0.25">
      <c r="A524" s="33"/>
      <c r="B524" s="434"/>
      <c r="C524" s="317"/>
      <c r="D524" s="316"/>
      <c r="E524" s="331"/>
      <c r="F524" s="316"/>
      <c r="G524" s="331"/>
      <c r="H524" s="316"/>
      <c r="I524" s="459"/>
      <c r="J524" s="316"/>
      <c r="K524" s="459"/>
      <c r="L524" s="316"/>
      <c r="M524" s="7"/>
      <c r="N524" s="206"/>
    </row>
    <row r="525" spans="1:14" s="6" customFormat="1" ht="15" customHeight="1" x14ac:dyDescent="0.25">
      <c r="A525" s="33"/>
      <c r="B525" s="434"/>
      <c r="C525" s="317"/>
      <c r="D525" s="379"/>
      <c r="E525" s="331"/>
      <c r="F525" s="316"/>
      <c r="G525" s="331"/>
      <c r="H525" s="316"/>
      <c r="I525" s="331"/>
      <c r="J525" s="316"/>
      <c r="K525" s="331"/>
      <c r="L525" s="316"/>
      <c r="M525" s="7"/>
      <c r="N525" s="206"/>
    </row>
    <row r="526" spans="1:14" s="6" customFormat="1" ht="15" customHeight="1" x14ac:dyDescent="0.25">
      <c r="A526" s="33"/>
      <c r="B526" s="434"/>
      <c r="C526" s="317"/>
      <c r="D526" s="316"/>
      <c r="E526" s="331"/>
      <c r="F526" s="316"/>
      <c r="G526" s="331"/>
      <c r="H526" s="316"/>
      <c r="I526" s="331"/>
      <c r="J526" s="316"/>
      <c r="K526" s="331"/>
      <c r="L526" s="316"/>
      <c r="M526" s="7"/>
      <c r="N526" s="206"/>
    </row>
    <row r="527" spans="1:14" s="6" customFormat="1" ht="15" customHeight="1" x14ac:dyDescent="0.25">
      <c r="A527" s="33"/>
      <c r="B527" s="434"/>
      <c r="C527" s="318"/>
      <c r="D527" s="319"/>
      <c r="E527" s="380"/>
      <c r="F527" s="319"/>
      <c r="G527" s="381"/>
      <c r="H527" s="382"/>
      <c r="I527" s="380"/>
      <c r="J527" s="319"/>
      <c r="K527" s="380"/>
      <c r="L527" s="319"/>
      <c r="M527" s="7"/>
      <c r="N527" s="206"/>
    </row>
    <row r="528" spans="1:14" s="6" customFormat="1" ht="15" customHeight="1" x14ac:dyDescent="0.25">
      <c r="A528" s="33"/>
      <c r="B528" s="434"/>
      <c r="C528" s="210">
        <f>K521+3</f>
        <v>42226</v>
      </c>
      <c r="D528" s="211"/>
      <c r="E528" s="213">
        <f>C528+1</f>
        <v>42227</v>
      </c>
      <c r="F528" s="211"/>
      <c r="G528" s="213">
        <f>E528+1</f>
        <v>42228</v>
      </c>
      <c r="H528" s="211"/>
      <c r="I528" s="213">
        <f>G528+1</f>
        <v>42229</v>
      </c>
      <c r="J528" s="211"/>
      <c r="K528" s="213">
        <f>I528+1</f>
        <v>42230</v>
      </c>
      <c r="L528" s="211"/>
      <c r="M528" s="7"/>
      <c r="N528" s="206"/>
    </row>
    <row r="529" spans="1:14" s="6" customFormat="1" ht="15" customHeight="1" x14ac:dyDescent="0.25">
      <c r="A529" s="33"/>
      <c r="B529" s="434"/>
      <c r="C529" s="317"/>
      <c r="D529" s="316"/>
      <c r="E529" s="331"/>
      <c r="F529" s="316"/>
      <c r="G529" s="331"/>
      <c r="H529" s="316"/>
      <c r="I529" s="331"/>
      <c r="J529" s="316"/>
      <c r="K529" s="331"/>
      <c r="L529" s="316"/>
      <c r="M529" s="7"/>
      <c r="N529" s="206"/>
    </row>
    <row r="530" spans="1:14" s="6" customFormat="1" ht="15" customHeight="1" x14ac:dyDescent="0.25">
      <c r="A530" s="33"/>
      <c r="B530" s="434"/>
      <c r="C530" s="317"/>
      <c r="D530" s="316"/>
      <c r="E530" s="331"/>
      <c r="F530" s="316"/>
      <c r="G530" s="331"/>
      <c r="H530" s="316"/>
      <c r="I530" s="331"/>
      <c r="J530" s="316"/>
      <c r="K530" s="331"/>
      <c r="L530" s="316"/>
      <c r="M530" s="7"/>
      <c r="N530" s="206"/>
    </row>
    <row r="531" spans="1:14" s="6" customFormat="1" ht="15" customHeight="1" x14ac:dyDescent="0.25">
      <c r="A531" s="33"/>
      <c r="B531" s="434"/>
      <c r="C531" s="317"/>
      <c r="D531" s="316"/>
      <c r="E531" s="331"/>
      <c r="F531" s="316"/>
      <c r="G531" s="331"/>
      <c r="H531" s="316"/>
      <c r="I531" s="331"/>
      <c r="J531" s="316"/>
      <c r="K531" s="331"/>
      <c r="L531" s="316"/>
      <c r="M531" s="7"/>
      <c r="N531" s="206"/>
    </row>
    <row r="532" spans="1:14" s="6" customFormat="1" ht="15" customHeight="1" x14ac:dyDescent="0.25">
      <c r="A532" s="33"/>
      <c r="B532" s="434"/>
      <c r="C532" s="383"/>
      <c r="D532" s="384"/>
      <c r="E532" s="331"/>
      <c r="F532" s="316"/>
      <c r="G532" s="331"/>
      <c r="H532" s="316"/>
      <c r="I532" s="331"/>
      <c r="J532" s="316"/>
      <c r="K532" s="331"/>
      <c r="L532" s="316"/>
      <c r="M532" s="7"/>
      <c r="N532" s="206"/>
    </row>
    <row r="533" spans="1:14" s="6" customFormat="1" ht="15" customHeight="1" x14ac:dyDescent="0.25">
      <c r="A533" s="33"/>
      <c r="B533" s="434"/>
      <c r="C533" s="317"/>
      <c r="D533" s="316"/>
      <c r="E533" s="331"/>
      <c r="F533" s="316"/>
      <c r="G533" s="331"/>
      <c r="H533" s="316"/>
      <c r="I533" s="331"/>
      <c r="J533" s="316"/>
      <c r="K533" s="331"/>
      <c r="L533" s="316"/>
      <c r="M533" s="7"/>
      <c r="N533" s="206"/>
    </row>
    <row r="534" spans="1:14" s="6" customFormat="1" ht="15" customHeight="1" x14ac:dyDescent="0.25">
      <c r="A534" s="33"/>
      <c r="B534" s="434"/>
      <c r="C534" s="318"/>
      <c r="D534" s="319"/>
      <c r="E534" s="380"/>
      <c r="F534" s="319"/>
      <c r="G534" s="381"/>
      <c r="H534" s="382"/>
      <c r="I534" s="380"/>
      <c r="J534" s="319"/>
      <c r="K534" s="380"/>
      <c r="L534" s="319"/>
      <c r="M534" s="7"/>
      <c r="N534" s="206"/>
    </row>
    <row r="535" spans="1:14" s="6" customFormat="1" ht="15" customHeight="1" x14ac:dyDescent="0.25">
      <c r="A535" s="33"/>
      <c r="B535" s="434"/>
      <c r="C535" s="210">
        <f>K528+3</f>
        <v>42233</v>
      </c>
      <c r="D535" s="211"/>
      <c r="E535" s="213">
        <f>C535+1</f>
        <v>42234</v>
      </c>
      <c r="F535" s="211"/>
      <c r="G535" s="213">
        <f>E535+1</f>
        <v>42235</v>
      </c>
      <c r="H535" s="211"/>
      <c r="I535" s="213">
        <f>G535+1</f>
        <v>42236</v>
      </c>
      <c r="J535" s="211"/>
      <c r="K535" s="213">
        <f>I535+1</f>
        <v>42237</v>
      </c>
      <c r="L535" s="211"/>
      <c r="M535" s="7"/>
      <c r="N535" s="206"/>
    </row>
    <row r="536" spans="1:14" s="6" customFormat="1" ht="15" customHeight="1" x14ac:dyDescent="0.25">
      <c r="A536" s="33"/>
      <c r="B536" s="434"/>
      <c r="C536" s="317"/>
      <c r="D536" s="316"/>
      <c r="E536" s="331"/>
      <c r="F536" s="316"/>
      <c r="G536" s="331"/>
      <c r="H536" s="316"/>
      <c r="I536" s="331"/>
      <c r="J536" s="316"/>
      <c r="K536" s="331"/>
      <c r="L536" s="316"/>
      <c r="M536" s="7"/>
      <c r="N536" s="206"/>
    </row>
    <row r="537" spans="1:14" s="6" customFormat="1" ht="15" customHeight="1" x14ac:dyDescent="0.25">
      <c r="A537" s="33"/>
      <c r="B537" s="434"/>
      <c r="C537" s="383"/>
      <c r="D537" s="384"/>
      <c r="E537" s="331"/>
      <c r="F537" s="316"/>
      <c r="G537" s="331"/>
      <c r="H537" s="316"/>
      <c r="I537" s="331"/>
      <c r="J537" s="316"/>
      <c r="K537" s="331"/>
      <c r="L537" s="316"/>
      <c r="M537" s="7"/>
      <c r="N537" s="206"/>
    </row>
    <row r="538" spans="1:14" s="6" customFormat="1" ht="15" customHeight="1" x14ac:dyDescent="0.25">
      <c r="A538" s="33"/>
      <c r="B538" s="434"/>
      <c r="C538" s="317"/>
      <c r="D538" s="316"/>
      <c r="E538" s="331"/>
      <c r="F538" s="316"/>
      <c r="G538" s="331"/>
      <c r="H538" s="316"/>
      <c r="I538" s="331"/>
      <c r="J538" s="316"/>
      <c r="K538" s="331"/>
      <c r="L538" s="316"/>
      <c r="M538" s="7"/>
      <c r="N538" s="206"/>
    </row>
    <row r="539" spans="1:14" s="6" customFormat="1" ht="15" customHeight="1" x14ac:dyDescent="0.25">
      <c r="A539" s="33"/>
      <c r="B539" s="434"/>
      <c r="C539" s="317"/>
      <c r="D539" s="316"/>
      <c r="E539" s="331"/>
      <c r="F539" s="316"/>
      <c r="G539" s="331"/>
      <c r="H539" s="316"/>
      <c r="I539" s="331"/>
      <c r="J539" s="316"/>
      <c r="K539" s="331"/>
      <c r="L539" s="316"/>
      <c r="M539" s="7"/>
      <c r="N539" s="206"/>
    </row>
    <row r="540" spans="1:14" s="6" customFormat="1" ht="15" customHeight="1" x14ac:dyDescent="0.25">
      <c r="A540" s="33"/>
      <c r="B540" s="434"/>
      <c r="C540" s="317"/>
      <c r="D540" s="316"/>
      <c r="E540" s="331"/>
      <c r="F540" s="316"/>
      <c r="G540" s="331"/>
      <c r="H540" s="316"/>
      <c r="I540" s="331"/>
      <c r="J540" s="316"/>
      <c r="K540" s="331"/>
      <c r="L540" s="316"/>
      <c r="M540" s="7"/>
      <c r="N540" s="206"/>
    </row>
    <row r="541" spans="1:14" s="6" customFormat="1" ht="15" customHeight="1" x14ac:dyDescent="0.25">
      <c r="A541" s="33"/>
      <c r="B541" s="434"/>
      <c r="C541" s="318"/>
      <c r="D541" s="319"/>
      <c r="E541" s="380"/>
      <c r="F541" s="319"/>
      <c r="G541" s="381"/>
      <c r="H541" s="382"/>
      <c r="I541" s="380"/>
      <c r="J541" s="319"/>
      <c r="K541" s="380"/>
      <c r="L541" s="319"/>
      <c r="M541" s="7"/>
      <c r="N541" s="206"/>
    </row>
    <row r="542" spans="1:14" s="6" customFormat="1" ht="15" customHeight="1" x14ac:dyDescent="0.25">
      <c r="A542" s="33"/>
      <c r="B542" s="434" t="s">
        <v>44</v>
      </c>
      <c r="C542" s="210">
        <f>K535+3</f>
        <v>42240</v>
      </c>
      <c r="D542" s="211"/>
      <c r="E542" s="213">
        <f>C542+1</f>
        <v>42241</v>
      </c>
      <c r="F542" s="211"/>
      <c r="G542" s="213">
        <f>E542+1</f>
        <v>42242</v>
      </c>
      <c r="H542" s="211"/>
      <c r="I542" s="213">
        <f>G542+1</f>
        <v>42243</v>
      </c>
      <c r="J542" s="211"/>
      <c r="K542" s="213">
        <f>I542+1</f>
        <v>42244</v>
      </c>
      <c r="L542" s="211"/>
      <c r="M542" s="7"/>
      <c r="N542" s="206"/>
    </row>
    <row r="543" spans="1:14" s="6" customFormat="1" ht="15" customHeight="1" x14ac:dyDescent="0.25">
      <c r="A543" s="33"/>
      <c r="B543" s="434"/>
      <c r="C543" s="440"/>
      <c r="D543" s="456"/>
      <c r="E543" s="331"/>
      <c r="F543" s="316"/>
      <c r="G543" s="331"/>
      <c r="H543" s="316"/>
      <c r="I543" s="331"/>
      <c r="J543" s="316"/>
      <c r="K543" s="331"/>
      <c r="L543" s="316"/>
      <c r="M543" s="7"/>
      <c r="N543" s="206"/>
    </row>
    <row r="544" spans="1:14" s="6" customFormat="1" ht="15" customHeight="1" x14ac:dyDescent="0.25">
      <c r="A544" s="33"/>
      <c r="B544" s="434"/>
      <c r="C544" s="317"/>
      <c r="D544" s="316"/>
      <c r="E544" s="331"/>
      <c r="F544" s="379"/>
      <c r="G544" s="331"/>
      <c r="H544" s="316"/>
      <c r="I544" s="331"/>
      <c r="J544" s="316"/>
      <c r="K544" s="331"/>
      <c r="L544" s="316"/>
      <c r="M544" s="7"/>
      <c r="N544" s="206"/>
    </row>
    <row r="545" spans="1:14" s="6" customFormat="1" ht="15" customHeight="1" x14ac:dyDescent="0.25">
      <c r="A545" s="33"/>
      <c r="B545" s="434"/>
      <c r="C545" s="383"/>
      <c r="D545" s="384"/>
      <c r="E545" s="331"/>
      <c r="F545" s="316"/>
      <c r="G545" s="331"/>
      <c r="H545" s="316"/>
      <c r="I545" s="317"/>
      <c r="J545" s="316"/>
      <c r="K545" s="317"/>
      <c r="L545" s="316"/>
      <c r="M545" s="7"/>
      <c r="N545" s="206"/>
    </row>
    <row r="546" spans="1:14" s="6" customFormat="1" ht="15" customHeight="1" x14ac:dyDescent="0.25">
      <c r="A546" s="33"/>
      <c r="B546" s="434"/>
      <c r="C546" s="317"/>
      <c r="D546" s="316"/>
      <c r="E546" s="331"/>
      <c r="F546" s="316"/>
      <c r="G546" s="331"/>
      <c r="H546" s="316"/>
      <c r="I546" s="317"/>
      <c r="J546" s="316"/>
      <c r="K546" s="317"/>
      <c r="L546" s="316"/>
      <c r="M546" s="7"/>
      <c r="N546" s="206"/>
    </row>
    <row r="547" spans="1:14" s="6" customFormat="1" ht="15" customHeight="1" x14ac:dyDescent="0.25">
      <c r="A547" s="33"/>
      <c r="B547" s="434"/>
      <c r="C547" s="317"/>
      <c r="D547" s="316"/>
      <c r="E547" s="331"/>
      <c r="F547" s="316"/>
      <c r="G547" s="331"/>
      <c r="H547" s="316"/>
      <c r="I547" s="317"/>
      <c r="J547" s="316"/>
      <c r="K547" s="317"/>
      <c r="L547" s="316"/>
      <c r="M547" s="7"/>
      <c r="N547" s="206"/>
    </row>
    <row r="548" spans="1:14" s="6" customFormat="1" ht="15" customHeight="1" x14ac:dyDescent="0.25">
      <c r="A548" s="33"/>
      <c r="B548" s="434"/>
      <c r="C548" s="318"/>
      <c r="D548" s="319"/>
      <c r="E548" s="380"/>
      <c r="F548" s="319"/>
      <c r="G548" s="381"/>
      <c r="H548" s="382"/>
      <c r="I548" s="380"/>
      <c r="J548" s="319"/>
      <c r="K548" s="380"/>
      <c r="L548" s="319"/>
      <c r="M548" s="7"/>
      <c r="N548" s="206"/>
    </row>
    <row r="549" spans="1:14" s="6" customFormat="1" ht="15" customHeight="1" x14ac:dyDescent="0.25">
      <c r="A549" s="33"/>
      <c r="B549" s="434"/>
      <c r="C549" s="210">
        <f>K542+3</f>
        <v>42247</v>
      </c>
      <c r="D549" s="211"/>
      <c r="E549" s="213">
        <f>C549+1</f>
        <v>42248</v>
      </c>
      <c r="F549" s="211"/>
      <c r="G549" s="213">
        <f>E549+1</f>
        <v>42249</v>
      </c>
      <c r="H549" s="211"/>
      <c r="I549" s="213">
        <f>G549+1</f>
        <v>42250</v>
      </c>
      <c r="J549" s="211"/>
      <c r="K549" s="213">
        <f>I549+1</f>
        <v>42251</v>
      </c>
      <c r="L549" s="211"/>
      <c r="M549" s="7"/>
      <c r="N549" s="206"/>
    </row>
    <row r="550" spans="1:14" s="6" customFormat="1" ht="15" customHeight="1" x14ac:dyDescent="0.25">
      <c r="A550" s="33"/>
      <c r="B550" s="434"/>
      <c r="C550" s="317"/>
      <c r="D550" s="316"/>
      <c r="E550" s="331"/>
      <c r="F550" s="316"/>
      <c r="G550" s="331"/>
      <c r="H550" s="316"/>
      <c r="I550" s="331"/>
      <c r="J550" s="316"/>
      <c r="K550" s="331"/>
      <c r="L550" s="316"/>
      <c r="M550" s="7"/>
      <c r="N550" s="206"/>
    </row>
    <row r="551" spans="1:14" s="6" customFormat="1" ht="15" customHeight="1" x14ac:dyDescent="0.25">
      <c r="A551" s="33"/>
      <c r="B551" s="434"/>
      <c r="C551" s="317"/>
      <c r="D551" s="316"/>
      <c r="E551" s="331"/>
      <c r="F551" s="316"/>
      <c r="G551" s="331"/>
      <c r="H551" s="316"/>
      <c r="I551" s="331"/>
      <c r="J551" s="316"/>
      <c r="K551" s="331"/>
      <c r="L551" s="316"/>
      <c r="M551" s="7"/>
      <c r="N551" s="206"/>
    </row>
    <row r="552" spans="1:14" s="6" customFormat="1" ht="15" customHeight="1" x14ac:dyDescent="0.25">
      <c r="A552" s="33"/>
      <c r="B552" s="434"/>
      <c r="C552" s="383"/>
      <c r="D552" s="384"/>
      <c r="E552" s="331"/>
      <c r="F552" s="316"/>
      <c r="G552" s="331"/>
      <c r="H552" s="316"/>
      <c r="I552" s="331"/>
      <c r="J552" s="316"/>
      <c r="K552" s="331"/>
      <c r="L552" s="316"/>
      <c r="M552" s="7"/>
      <c r="N552" s="206"/>
    </row>
    <row r="553" spans="1:14" s="6" customFormat="1" ht="15" customHeight="1" x14ac:dyDescent="0.25">
      <c r="A553" s="33"/>
      <c r="B553" s="434"/>
      <c r="C553" s="317"/>
      <c r="D553" s="316"/>
      <c r="E553" s="331"/>
      <c r="F553" s="316"/>
      <c r="G553" s="331"/>
      <c r="H553" s="316"/>
      <c r="I553" s="331"/>
      <c r="J553" s="316"/>
      <c r="K553" s="331"/>
      <c r="L553" s="316"/>
      <c r="M553" s="7"/>
      <c r="N553" s="206"/>
    </row>
    <row r="554" spans="1:14" s="6" customFormat="1" ht="15" customHeight="1" x14ac:dyDescent="0.25">
      <c r="A554" s="33"/>
      <c r="B554" s="434"/>
      <c r="C554" s="317"/>
      <c r="D554" s="316"/>
      <c r="E554" s="331"/>
      <c r="F554" s="316"/>
      <c r="G554" s="331"/>
      <c r="H554" s="316"/>
      <c r="I554" s="331"/>
      <c r="J554" s="316"/>
      <c r="K554" s="331"/>
      <c r="L554" s="316"/>
      <c r="M554" s="7"/>
      <c r="N554" s="206"/>
    </row>
    <row r="555" spans="1:14" s="6" customFormat="1" ht="15" customHeight="1" x14ac:dyDescent="0.25">
      <c r="A555" s="33"/>
      <c r="B555" s="437"/>
      <c r="C555" s="460"/>
      <c r="D555" s="319"/>
      <c r="E555" s="380"/>
      <c r="F555" s="319"/>
      <c r="G555" s="381"/>
      <c r="H555" s="382"/>
      <c r="I555" s="380"/>
      <c r="J555" s="319"/>
      <c r="K555" s="380"/>
      <c r="L555" s="319"/>
      <c r="M555" s="7"/>
      <c r="N555" s="206"/>
    </row>
    <row r="556" spans="1:14" s="6" customFormat="1" ht="15" customHeight="1" x14ac:dyDescent="0.25">
      <c r="A556" s="33"/>
      <c r="B556" s="441"/>
      <c r="C556" s="210">
        <f>K549+3</f>
        <v>42254</v>
      </c>
      <c r="D556" s="211"/>
      <c r="E556" s="213">
        <f>C556+1</f>
        <v>42255</v>
      </c>
      <c r="F556" s="211"/>
      <c r="G556" s="213">
        <f>E556+1</f>
        <v>42256</v>
      </c>
      <c r="H556" s="211"/>
      <c r="I556" s="213">
        <f>G556+1</f>
        <v>42257</v>
      </c>
      <c r="J556" s="211"/>
      <c r="K556" s="213">
        <f>I556+1</f>
        <v>42258</v>
      </c>
      <c r="L556" s="211"/>
      <c r="M556" s="7"/>
      <c r="N556" s="206"/>
    </row>
    <row r="557" spans="1:14" s="6" customFormat="1" ht="15" customHeight="1" x14ac:dyDescent="0.25">
      <c r="A557" s="33"/>
      <c r="B557" s="429"/>
      <c r="C557" s="317"/>
      <c r="D557" s="316"/>
      <c r="E557" s="331"/>
      <c r="F557" s="316"/>
      <c r="G557" s="331"/>
      <c r="H557" s="316"/>
      <c r="I557" s="331"/>
      <c r="J557" s="316"/>
      <c r="K557" s="331"/>
      <c r="L557" s="316"/>
      <c r="M557" s="7"/>
      <c r="N557" s="206"/>
    </row>
    <row r="558" spans="1:14" s="6" customFormat="1" ht="15" customHeight="1" x14ac:dyDescent="0.25">
      <c r="A558" s="33"/>
      <c r="B558" s="429"/>
      <c r="C558" s="317"/>
      <c r="D558" s="316"/>
      <c r="E558" s="331"/>
      <c r="F558" s="316"/>
      <c r="G558" s="331"/>
      <c r="H558" s="316"/>
      <c r="I558" s="331"/>
      <c r="J558" s="316"/>
      <c r="K558" s="331"/>
      <c r="L558" s="316"/>
      <c r="M558" s="7"/>
      <c r="N558" s="206"/>
    </row>
    <row r="559" spans="1:14" s="6" customFormat="1" ht="15" customHeight="1" x14ac:dyDescent="0.25">
      <c r="A559" s="33"/>
      <c r="B559" s="429"/>
      <c r="C559" s="317"/>
      <c r="D559" s="316"/>
      <c r="E559" s="331"/>
      <c r="F559" s="316"/>
      <c r="G559" s="331"/>
      <c r="H559" s="316"/>
      <c r="I559" s="331"/>
      <c r="J559" s="316"/>
      <c r="K559" s="331"/>
      <c r="L559" s="316"/>
      <c r="M559" s="7"/>
      <c r="N559" s="206"/>
    </row>
    <row r="560" spans="1:14" s="6" customFormat="1" ht="15" customHeight="1" x14ac:dyDescent="0.25">
      <c r="A560" s="33"/>
      <c r="B560" s="429"/>
      <c r="C560" s="317"/>
      <c r="D560" s="316"/>
      <c r="E560" s="331"/>
      <c r="F560" s="316"/>
      <c r="G560" s="331"/>
      <c r="H560" s="316"/>
      <c r="I560" s="331"/>
      <c r="J560" s="316"/>
      <c r="K560" s="331"/>
      <c r="L560" s="316"/>
      <c r="M560" s="7"/>
      <c r="N560" s="206"/>
    </row>
    <row r="561" spans="1:14" s="6" customFormat="1" ht="15" customHeight="1" x14ac:dyDescent="0.25">
      <c r="A561" s="33"/>
      <c r="B561" s="429"/>
      <c r="C561" s="317"/>
      <c r="D561" s="316"/>
      <c r="E561" s="331"/>
      <c r="F561" s="316"/>
      <c r="G561" s="331"/>
      <c r="H561" s="316"/>
      <c r="I561" s="331"/>
      <c r="J561" s="316"/>
      <c r="K561" s="331"/>
      <c r="L561" s="316"/>
      <c r="M561" s="7"/>
      <c r="N561" s="206"/>
    </row>
    <row r="562" spans="1:14" s="6" customFormat="1" ht="15" customHeight="1" x14ac:dyDescent="0.25">
      <c r="A562" s="33"/>
      <c r="B562" s="429"/>
      <c r="C562" s="318"/>
      <c r="D562" s="319"/>
      <c r="E562" s="380"/>
      <c r="F562" s="319"/>
      <c r="G562" s="381"/>
      <c r="H562" s="382"/>
      <c r="I562" s="380"/>
      <c r="J562" s="319"/>
      <c r="K562" s="380"/>
      <c r="L562" s="319"/>
      <c r="M562" s="7"/>
      <c r="N562" s="206"/>
    </row>
    <row r="563" spans="1:14" s="6" customFormat="1" ht="15" customHeight="1" x14ac:dyDescent="0.25">
      <c r="A563" s="33"/>
      <c r="B563" s="429"/>
      <c r="C563" s="210">
        <f>K556+3</f>
        <v>42261</v>
      </c>
      <c r="D563" s="211"/>
      <c r="E563" s="213">
        <f>C563+1</f>
        <v>42262</v>
      </c>
      <c r="F563" s="211"/>
      <c r="G563" s="213">
        <f>E563+1</f>
        <v>42263</v>
      </c>
      <c r="H563" s="211"/>
      <c r="I563" s="213">
        <f>G563+1</f>
        <v>42264</v>
      </c>
      <c r="J563" s="211"/>
      <c r="K563" s="213">
        <f>I563+1</f>
        <v>42265</v>
      </c>
      <c r="L563" s="211"/>
      <c r="M563" s="7"/>
      <c r="N563" s="206"/>
    </row>
    <row r="564" spans="1:14" s="6" customFormat="1" ht="15" customHeight="1" x14ac:dyDescent="0.25">
      <c r="A564" s="33"/>
      <c r="B564" s="429"/>
      <c r="C564" s="317"/>
      <c r="D564" s="316"/>
      <c r="E564" s="331"/>
      <c r="F564" s="316"/>
      <c r="G564" s="331"/>
      <c r="H564" s="316"/>
      <c r="I564" s="331"/>
      <c r="J564" s="316"/>
      <c r="K564" s="331"/>
      <c r="L564" s="316"/>
      <c r="M564" s="7"/>
      <c r="N564" s="206"/>
    </row>
    <row r="565" spans="1:14" s="6" customFormat="1" ht="15" customHeight="1" x14ac:dyDescent="0.25">
      <c r="A565" s="33"/>
      <c r="B565" s="429"/>
      <c r="C565" s="317"/>
      <c r="D565" s="316"/>
      <c r="E565" s="331"/>
      <c r="F565" s="316"/>
      <c r="G565" s="331"/>
      <c r="H565" s="316"/>
      <c r="I565" s="331"/>
      <c r="J565" s="316"/>
      <c r="K565" s="331"/>
      <c r="L565" s="316"/>
      <c r="M565" s="7"/>
      <c r="N565" s="206"/>
    </row>
    <row r="566" spans="1:14" s="6" customFormat="1" ht="15" customHeight="1" x14ac:dyDescent="0.25">
      <c r="A566" s="33"/>
      <c r="B566" s="429"/>
      <c r="C566" s="383"/>
      <c r="D566" s="384"/>
      <c r="E566" s="331"/>
      <c r="F566" s="316"/>
      <c r="G566" s="331"/>
      <c r="H566" s="316"/>
      <c r="I566" s="331"/>
      <c r="J566" s="316"/>
      <c r="K566" s="331"/>
      <c r="L566" s="316"/>
      <c r="M566" s="7"/>
      <c r="N566" s="206"/>
    </row>
    <row r="567" spans="1:14" s="6" customFormat="1" ht="15" customHeight="1" x14ac:dyDescent="0.25">
      <c r="A567" s="33"/>
      <c r="B567" s="429"/>
      <c r="C567" s="317"/>
      <c r="D567" s="316"/>
      <c r="E567" s="331"/>
      <c r="F567" s="316"/>
      <c r="G567" s="331"/>
      <c r="H567" s="316"/>
      <c r="I567" s="331"/>
      <c r="J567" s="316"/>
      <c r="K567" s="331"/>
      <c r="L567" s="316"/>
      <c r="M567" s="7"/>
      <c r="N567" s="206"/>
    </row>
    <row r="568" spans="1:14" s="6" customFormat="1" ht="15" customHeight="1" x14ac:dyDescent="0.25">
      <c r="A568" s="33"/>
      <c r="B568" s="429"/>
      <c r="C568" s="317"/>
      <c r="D568" s="316"/>
      <c r="E568" s="331"/>
      <c r="F568" s="316"/>
      <c r="G568" s="331"/>
      <c r="H568" s="316"/>
      <c r="I568" s="331"/>
      <c r="J568" s="316"/>
      <c r="K568" s="331"/>
      <c r="L568" s="316"/>
      <c r="M568" s="7"/>
      <c r="N568" s="206"/>
    </row>
    <row r="569" spans="1:14" s="6" customFormat="1" ht="15" customHeight="1" x14ac:dyDescent="0.25">
      <c r="A569" s="33"/>
      <c r="B569" s="429"/>
      <c r="C569" s="318"/>
      <c r="D569" s="319"/>
      <c r="E569" s="331"/>
      <c r="F569" s="316"/>
      <c r="G569" s="381"/>
      <c r="H569" s="382"/>
      <c r="I569" s="380"/>
      <c r="J569" s="319"/>
      <c r="K569" s="380"/>
      <c r="L569" s="319"/>
      <c r="M569" s="7"/>
      <c r="N569" s="206"/>
    </row>
    <row r="570" spans="1:14" s="6" customFormat="1" ht="15" customHeight="1" x14ac:dyDescent="0.25">
      <c r="A570" s="33"/>
      <c r="B570" s="429" t="s">
        <v>43</v>
      </c>
      <c r="C570" s="210">
        <f>K563+3</f>
        <v>42268</v>
      </c>
      <c r="D570" s="211"/>
      <c r="E570" s="213">
        <f>C570+1</f>
        <v>42269</v>
      </c>
      <c r="F570" s="211"/>
      <c r="G570" s="213">
        <f>E570+1</f>
        <v>42270</v>
      </c>
      <c r="H570" s="211"/>
      <c r="I570" s="213">
        <f>G570+1</f>
        <v>42271</v>
      </c>
      <c r="J570" s="211"/>
      <c r="K570" s="213">
        <f>I570+1</f>
        <v>42272</v>
      </c>
      <c r="L570" s="211"/>
      <c r="M570" s="7"/>
      <c r="N570" s="206"/>
    </row>
    <row r="571" spans="1:14" s="6" customFormat="1" ht="15" customHeight="1" x14ac:dyDescent="0.25">
      <c r="A571" s="33"/>
      <c r="B571" s="429"/>
      <c r="C571" s="317"/>
      <c r="D571" s="316"/>
      <c r="E571" s="331"/>
      <c r="F571" s="316"/>
      <c r="G571" s="331"/>
      <c r="H571" s="316"/>
      <c r="I571" s="331"/>
      <c r="J571" s="316"/>
      <c r="K571" s="331"/>
      <c r="L571" s="316"/>
      <c r="M571" s="7"/>
      <c r="N571" s="206"/>
    </row>
    <row r="572" spans="1:14" s="6" customFormat="1" ht="15" customHeight="1" x14ac:dyDescent="0.25">
      <c r="A572" s="33"/>
      <c r="B572" s="429"/>
      <c r="C572" s="317"/>
      <c r="D572" s="316"/>
      <c r="E572" s="331"/>
      <c r="F572" s="316"/>
      <c r="G572" s="331"/>
      <c r="H572" s="316"/>
      <c r="I572" s="331"/>
      <c r="J572" s="316"/>
      <c r="K572" s="331"/>
      <c r="L572" s="316"/>
      <c r="M572" s="7"/>
      <c r="N572" s="206"/>
    </row>
    <row r="573" spans="1:14" s="6" customFormat="1" ht="15" customHeight="1" x14ac:dyDescent="0.25">
      <c r="A573" s="34"/>
      <c r="B573" s="429"/>
      <c r="C573" s="432"/>
      <c r="D573" s="450"/>
      <c r="E573" s="331"/>
      <c r="F573" s="316"/>
      <c r="G573" s="331"/>
      <c r="H573" s="316"/>
      <c r="I573" s="459"/>
      <c r="J573" s="316"/>
      <c r="K573" s="459"/>
      <c r="L573" s="316"/>
      <c r="M573" s="7"/>
      <c r="N573" s="206"/>
    </row>
    <row r="574" spans="1:14" s="6" customFormat="1" ht="15" customHeight="1" x14ac:dyDescent="0.25">
      <c r="A574" s="33"/>
      <c r="B574" s="429"/>
      <c r="C574" s="317"/>
      <c r="D574" s="316"/>
      <c r="E574" s="331"/>
      <c r="F574" s="316"/>
      <c r="G574" s="331"/>
      <c r="H574" s="316"/>
      <c r="I574" s="459"/>
      <c r="J574" s="316"/>
      <c r="K574" s="459"/>
      <c r="L574" s="316"/>
      <c r="M574" s="7"/>
      <c r="N574" s="206"/>
    </row>
    <row r="575" spans="1:14" s="6" customFormat="1" ht="15" customHeight="1" x14ac:dyDescent="0.25">
      <c r="A575" s="34"/>
      <c r="B575" s="429"/>
      <c r="C575" s="317"/>
      <c r="D575" s="316"/>
      <c r="E575" s="331"/>
      <c r="F575" s="316"/>
      <c r="G575" s="331"/>
      <c r="H575" s="316"/>
      <c r="I575" s="331"/>
      <c r="J575" s="316"/>
      <c r="K575" s="331"/>
      <c r="L575" s="316"/>
      <c r="M575" s="7"/>
      <c r="N575" s="206"/>
    </row>
    <row r="576" spans="1:14" s="6" customFormat="1" ht="15" customHeight="1" x14ac:dyDescent="0.25">
      <c r="A576" s="33"/>
      <c r="B576" s="429"/>
      <c r="C576" s="318"/>
      <c r="D576" s="319"/>
      <c r="E576" s="462"/>
      <c r="F576" s="319"/>
      <c r="G576" s="381"/>
      <c r="H576" s="382"/>
      <c r="I576" s="462"/>
      <c r="J576" s="319"/>
      <c r="K576" s="462"/>
      <c r="L576" s="319"/>
      <c r="M576" s="7"/>
      <c r="N576" s="206"/>
    </row>
    <row r="577" spans="1:14" s="6" customFormat="1" ht="15" customHeight="1" x14ac:dyDescent="0.25">
      <c r="A577" s="33"/>
      <c r="B577" s="429"/>
      <c r="C577" s="210">
        <f>K570+3</f>
        <v>42275</v>
      </c>
      <c r="D577" s="211"/>
      <c r="E577" s="213">
        <f>C577+1</f>
        <v>42276</v>
      </c>
      <c r="F577" s="211"/>
      <c r="G577" s="213">
        <f>E577+1</f>
        <v>42277</v>
      </c>
      <c r="H577" s="211"/>
      <c r="I577" s="213">
        <f>G577+1</f>
        <v>42278</v>
      </c>
      <c r="J577" s="211"/>
      <c r="K577" s="213">
        <f>I577+1</f>
        <v>42279</v>
      </c>
      <c r="L577" s="211"/>
      <c r="M577" s="7"/>
      <c r="N577" s="206"/>
    </row>
    <row r="578" spans="1:14" s="6" customFormat="1" ht="15" customHeight="1" x14ac:dyDescent="0.25">
      <c r="A578" s="33"/>
      <c r="B578" s="429"/>
      <c r="C578" s="440"/>
      <c r="D578" s="456"/>
      <c r="E578" s="331"/>
      <c r="F578" s="316"/>
      <c r="G578" s="331"/>
      <c r="H578" s="316"/>
      <c r="I578" s="331"/>
      <c r="J578" s="316"/>
      <c r="K578" s="331"/>
      <c r="L578" s="316"/>
      <c r="M578" s="7"/>
      <c r="N578" s="206"/>
    </row>
    <row r="579" spans="1:14" s="6" customFormat="1" ht="15" customHeight="1" x14ac:dyDescent="0.25">
      <c r="A579" s="33"/>
      <c r="B579" s="429"/>
      <c r="C579" s="317"/>
      <c r="D579" s="316"/>
      <c r="E579" s="331"/>
      <c r="F579" s="316"/>
      <c r="G579" s="331"/>
      <c r="H579" s="316"/>
      <c r="I579" s="331"/>
      <c r="J579" s="316"/>
      <c r="K579" s="331"/>
      <c r="L579" s="316"/>
      <c r="M579" s="7"/>
      <c r="N579" s="206"/>
    </row>
    <row r="580" spans="1:14" s="6" customFormat="1" ht="15" customHeight="1" x14ac:dyDescent="0.25">
      <c r="A580" s="33"/>
      <c r="B580" s="429"/>
      <c r="C580" s="383"/>
      <c r="D580" s="384"/>
      <c r="E580" s="459"/>
      <c r="F580" s="316"/>
      <c r="G580" s="331"/>
      <c r="H580" s="316"/>
      <c r="I580" s="331"/>
      <c r="J580" s="316"/>
      <c r="K580" s="331"/>
      <c r="L580" s="316"/>
      <c r="M580" s="7"/>
      <c r="N580" s="206"/>
    </row>
    <row r="581" spans="1:14" s="6" customFormat="1" ht="15" customHeight="1" x14ac:dyDescent="0.25">
      <c r="A581" s="33"/>
      <c r="B581" s="429"/>
      <c r="C581" s="471"/>
      <c r="D581" s="316"/>
      <c r="E581" s="459"/>
      <c r="F581" s="316"/>
      <c r="G581" s="459"/>
      <c r="H581" s="316"/>
      <c r="I581" s="331"/>
      <c r="J581" s="316"/>
      <c r="K581" s="331"/>
      <c r="L581" s="316"/>
      <c r="M581" s="7"/>
      <c r="N581" s="206"/>
    </row>
    <row r="582" spans="1:14" s="6" customFormat="1" ht="15" customHeight="1" x14ac:dyDescent="0.25">
      <c r="A582" s="33"/>
      <c r="B582" s="429"/>
      <c r="C582" s="317"/>
      <c r="D582" s="316"/>
      <c r="E582" s="331"/>
      <c r="F582" s="316"/>
      <c r="G582" s="331"/>
      <c r="H582" s="316"/>
      <c r="I582" s="459"/>
      <c r="J582" s="316"/>
      <c r="K582" s="459"/>
      <c r="L582" s="316"/>
      <c r="M582" s="7"/>
      <c r="N582" s="206"/>
    </row>
    <row r="583" spans="1:14" s="6" customFormat="1" ht="15" customHeight="1" x14ac:dyDescent="0.25">
      <c r="A583" s="33"/>
      <c r="B583" s="430" t="s">
        <v>43</v>
      </c>
      <c r="C583" s="318"/>
      <c r="D583" s="319"/>
      <c r="E583" s="380"/>
      <c r="F583" s="319"/>
      <c r="G583" s="381"/>
      <c r="H583" s="382"/>
      <c r="I583" s="462"/>
      <c r="J583" s="319"/>
      <c r="K583" s="462"/>
      <c r="L583" s="319"/>
      <c r="M583" s="7"/>
      <c r="N583" s="206"/>
    </row>
    <row r="584" spans="1:14" s="6" customFormat="1" ht="15" customHeight="1" x14ac:dyDescent="0.25">
      <c r="A584" s="33"/>
      <c r="B584" s="435"/>
      <c r="C584" s="213">
        <f>K577+3</f>
        <v>42282</v>
      </c>
      <c r="D584" s="211"/>
      <c r="E584" s="213">
        <f>C584+1</f>
        <v>42283</v>
      </c>
      <c r="F584" s="211"/>
      <c r="G584" s="213">
        <f>E584+1</f>
        <v>42284</v>
      </c>
      <c r="H584" s="211"/>
      <c r="I584" s="213">
        <f>G584+1</f>
        <v>42285</v>
      </c>
      <c r="J584" s="211"/>
      <c r="K584" s="213">
        <f>I584+1</f>
        <v>42286</v>
      </c>
      <c r="L584" s="211"/>
      <c r="M584" s="7"/>
      <c r="N584" s="206"/>
    </row>
    <row r="585" spans="1:14" s="6" customFormat="1" ht="15" customHeight="1" x14ac:dyDescent="0.25">
      <c r="A585" s="33"/>
      <c r="B585" s="434"/>
      <c r="C585" s="471"/>
      <c r="D585" s="316"/>
      <c r="E585" s="331"/>
      <c r="F585" s="316"/>
      <c r="G585" s="331"/>
      <c r="H585" s="316"/>
      <c r="I585" s="331"/>
      <c r="J585" s="316"/>
      <c r="K585" s="331"/>
      <c r="L585" s="316"/>
      <c r="M585" s="7"/>
      <c r="N585" s="206"/>
    </row>
    <row r="586" spans="1:14" s="6" customFormat="1" ht="15" customHeight="1" x14ac:dyDescent="0.25">
      <c r="A586" s="33"/>
      <c r="B586" s="434"/>
      <c r="C586" s="317"/>
      <c r="D586" s="316"/>
      <c r="E586" s="331"/>
      <c r="F586" s="316"/>
      <c r="G586" s="331"/>
      <c r="H586" s="316"/>
      <c r="I586" s="331"/>
      <c r="J586" s="316"/>
      <c r="K586" s="331"/>
      <c r="L586" s="316"/>
      <c r="M586" s="7"/>
      <c r="N586" s="206"/>
    </row>
    <row r="587" spans="1:14" s="6" customFormat="1" ht="15" customHeight="1" x14ac:dyDescent="0.25">
      <c r="A587" s="33"/>
      <c r="B587" s="434"/>
      <c r="C587" s="317"/>
      <c r="D587" s="316"/>
      <c r="E587" s="331"/>
      <c r="F587" s="316"/>
      <c r="G587" s="331"/>
      <c r="H587" s="316"/>
      <c r="I587" s="459"/>
      <c r="J587" s="316"/>
      <c r="K587" s="459"/>
      <c r="L587" s="316"/>
      <c r="M587" s="7"/>
      <c r="N587" s="206"/>
    </row>
    <row r="588" spans="1:14" s="6" customFormat="1" ht="15" customHeight="1" x14ac:dyDescent="0.25">
      <c r="A588" s="33"/>
      <c r="B588" s="434"/>
      <c r="C588" s="317"/>
      <c r="D588" s="316"/>
      <c r="E588" s="331"/>
      <c r="F588" s="316"/>
      <c r="G588" s="331"/>
      <c r="H588" s="316"/>
      <c r="I588" s="331"/>
      <c r="J588" s="316"/>
      <c r="K588" s="331"/>
      <c r="L588" s="316"/>
      <c r="M588" s="7"/>
      <c r="N588" s="206"/>
    </row>
    <row r="589" spans="1:14" s="6" customFormat="1" ht="15" customHeight="1" x14ac:dyDescent="0.25">
      <c r="A589" s="33"/>
      <c r="B589" s="434"/>
      <c r="C589" s="317"/>
      <c r="D589" s="316"/>
      <c r="E589" s="331"/>
      <c r="F589" s="316"/>
      <c r="G589" s="331"/>
      <c r="H589" s="316"/>
      <c r="I589" s="331"/>
      <c r="J589" s="316"/>
      <c r="K589" s="331"/>
      <c r="L589" s="316"/>
      <c r="M589" s="7"/>
      <c r="N589" s="206"/>
    </row>
    <row r="590" spans="1:14" s="6" customFormat="1" ht="15" customHeight="1" x14ac:dyDescent="0.25">
      <c r="A590" s="33"/>
      <c r="B590" s="434"/>
      <c r="C590" s="318"/>
      <c r="D590" s="319"/>
      <c r="E590" s="380"/>
      <c r="F590" s="319"/>
      <c r="G590" s="381"/>
      <c r="H590" s="382"/>
      <c r="I590" s="380"/>
      <c r="J590" s="319"/>
      <c r="K590" s="380"/>
      <c r="L590" s="319"/>
      <c r="M590" s="7"/>
      <c r="N590" s="206"/>
    </row>
    <row r="591" spans="1:14" s="6" customFormat="1" ht="15" customHeight="1" x14ac:dyDescent="0.25">
      <c r="A591" s="33"/>
      <c r="B591" s="434"/>
      <c r="C591" s="213">
        <f>K584+3</f>
        <v>42289</v>
      </c>
      <c r="D591" s="211"/>
      <c r="E591" s="213">
        <f>C591+1</f>
        <v>42290</v>
      </c>
      <c r="F591" s="211"/>
      <c r="G591" s="213">
        <f>E591+1</f>
        <v>42291</v>
      </c>
      <c r="H591" s="211"/>
      <c r="I591" s="213">
        <f>G591+1</f>
        <v>42292</v>
      </c>
      <c r="J591" s="211"/>
      <c r="K591" s="213">
        <f>I591+1</f>
        <v>42293</v>
      </c>
      <c r="L591" s="211" t="s">
        <v>42</v>
      </c>
      <c r="M591" s="7"/>
      <c r="N591" s="206"/>
    </row>
    <row r="592" spans="1:14" s="6" customFormat="1" ht="15" customHeight="1" x14ac:dyDescent="0.25">
      <c r="A592" s="33"/>
      <c r="B592" s="434"/>
      <c r="C592" s="317"/>
      <c r="D592" s="316"/>
      <c r="E592" s="331"/>
      <c r="F592" s="316"/>
      <c r="G592" s="459"/>
      <c r="H592" s="316"/>
      <c r="I592" s="459"/>
      <c r="J592" s="316"/>
      <c r="K592" s="459"/>
      <c r="L592" s="316"/>
      <c r="M592" s="7"/>
      <c r="N592" s="206"/>
    </row>
    <row r="593" spans="1:14" s="6" customFormat="1" ht="15" customHeight="1" x14ac:dyDescent="0.25">
      <c r="A593" s="33"/>
      <c r="B593" s="434"/>
      <c r="C593" s="317"/>
      <c r="D593" s="316"/>
      <c r="E593" s="331"/>
      <c r="F593" s="316"/>
      <c r="G593" s="331"/>
      <c r="H593" s="316"/>
      <c r="I593" s="317"/>
      <c r="J593" s="316"/>
      <c r="K593" s="317"/>
      <c r="L593" s="316"/>
      <c r="M593" s="7"/>
      <c r="N593" s="206"/>
    </row>
    <row r="594" spans="1:14" s="6" customFormat="1" ht="15" customHeight="1" x14ac:dyDescent="0.25">
      <c r="A594" s="33"/>
      <c r="B594" s="434"/>
      <c r="C594" s="472"/>
      <c r="D594" s="384"/>
      <c r="E594" s="331"/>
      <c r="F594" s="316"/>
      <c r="G594" s="331"/>
      <c r="H594" s="316"/>
      <c r="I594" s="331"/>
      <c r="J594" s="316"/>
      <c r="K594" s="331"/>
      <c r="L594" s="316"/>
      <c r="M594" s="7"/>
      <c r="N594" s="206"/>
    </row>
    <row r="595" spans="1:14" s="6" customFormat="1" ht="15" customHeight="1" x14ac:dyDescent="0.25">
      <c r="A595" s="33"/>
      <c r="B595" s="434"/>
      <c r="C595" s="471"/>
      <c r="D595" s="316"/>
      <c r="E595" s="331"/>
      <c r="F595" s="316"/>
      <c r="G595" s="473"/>
      <c r="H595" s="433"/>
      <c r="I595" s="331"/>
      <c r="J595" s="316"/>
      <c r="K595" s="331"/>
      <c r="L595" s="316"/>
      <c r="M595" s="7"/>
      <c r="N595" s="206"/>
    </row>
    <row r="596" spans="1:14" s="6" customFormat="1" ht="15" customHeight="1" x14ac:dyDescent="0.25">
      <c r="A596" s="33"/>
      <c r="B596" s="434"/>
      <c r="C596" s="317"/>
      <c r="D596" s="316"/>
      <c r="E596" s="331"/>
      <c r="F596" s="316"/>
      <c r="G596" s="331"/>
      <c r="H596" s="316"/>
      <c r="I596" s="331"/>
      <c r="J596" s="316"/>
      <c r="K596" s="331"/>
      <c r="L596" s="316"/>
      <c r="M596" s="7"/>
      <c r="N596" s="206"/>
    </row>
    <row r="597" spans="1:14" s="6" customFormat="1" ht="15" customHeight="1" x14ac:dyDescent="0.25">
      <c r="A597" s="33"/>
      <c r="B597" s="434"/>
      <c r="C597" s="318"/>
      <c r="D597" s="319"/>
      <c r="E597" s="462"/>
      <c r="F597" s="319"/>
      <c r="G597" s="381"/>
      <c r="H597" s="382"/>
      <c r="I597" s="380"/>
      <c r="J597" s="319"/>
      <c r="K597" s="380"/>
      <c r="L597" s="319"/>
      <c r="M597" s="7"/>
      <c r="N597" s="206"/>
    </row>
    <row r="598" spans="1:14" s="6" customFormat="1" ht="15" customHeight="1" x14ac:dyDescent="0.25">
      <c r="A598" s="33"/>
      <c r="B598" s="434" t="s">
        <v>41</v>
      </c>
      <c r="C598" s="213">
        <f>K591+3</f>
        <v>42296</v>
      </c>
      <c r="D598" s="211"/>
      <c r="E598" s="213">
        <f>C598+1</f>
        <v>42297</v>
      </c>
      <c r="F598" s="211"/>
      <c r="G598" s="213">
        <f>E598+1</f>
        <v>42298</v>
      </c>
      <c r="H598" s="211"/>
      <c r="I598" s="213">
        <f>G598+1</f>
        <v>42299</v>
      </c>
      <c r="J598" s="211"/>
      <c r="K598" s="213">
        <f>I598+1</f>
        <v>42300</v>
      </c>
      <c r="L598" s="211"/>
      <c r="M598" s="7"/>
      <c r="N598" s="206"/>
    </row>
    <row r="599" spans="1:14" s="6" customFormat="1" ht="15" customHeight="1" x14ac:dyDescent="0.25">
      <c r="A599" s="33"/>
      <c r="B599" s="434"/>
      <c r="C599" s="317"/>
      <c r="D599" s="316"/>
      <c r="E599" s="331"/>
      <c r="F599" s="316"/>
      <c r="G599" s="331"/>
      <c r="H599" s="316"/>
      <c r="I599" s="331"/>
      <c r="J599" s="316"/>
      <c r="K599" s="331"/>
      <c r="L599" s="316"/>
      <c r="M599" s="7"/>
      <c r="N599" s="206"/>
    </row>
    <row r="600" spans="1:14" s="6" customFormat="1" ht="15" customHeight="1" x14ac:dyDescent="0.25">
      <c r="A600" s="33"/>
      <c r="B600" s="434"/>
      <c r="C600" s="317"/>
      <c r="D600" s="316"/>
      <c r="E600" s="331"/>
      <c r="F600" s="316"/>
      <c r="G600" s="331"/>
      <c r="H600" s="316"/>
      <c r="I600" s="331"/>
      <c r="J600" s="316"/>
      <c r="K600" s="331"/>
      <c r="L600" s="316"/>
      <c r="M600" s="7"/>
      <c r="N600" s="206"/>
    </row>
    <row r="601" spans="1:14" s="6" customFormat="1" ht="15" customHeight="1" x14ac:dyDescent="0.25">
      <c r="A601" s="33"/>
      <c r="B601" s="434"/>
      <c r="C601" s="383"/>
      <c r="D601" s="384"/>
      <c r="E601" s="331"/>
      <c r="F601" s="316"/>
      <c r="G601" s="331"/>
      <c r="H601" s="316"/>
      <c r="I601" s="331"/>
      <c r="J601" s="316"/>
      <c r="K601" s="331"/>
      <c r="L601" s="316"/>
      <c r="M601" s="7"/>
      <c r="N601" s="206"/>
    </row>
    <row r="602" spans="1:14" s="6" customFormat="1" ht="15" customHeight="1" x14ac:dyDescent="0.25">
      <c r="A602" s="33"/>
      <c r="B602" s="434"/>
      <c r="C602" s="317"/>
      <c r="D602" s="316"/>
      <c r="E602" s="331"/>
      <c r="F602" s="316"/>
      <c r="G602" s="331"/>
      <c r="H602" s="316"/>
      <c r="I602" s="331"/>
      <c r="J602" s="316"/>
      <c r="K602" s="331"/>
      <c r="L602" s="316"/>
      <c r="M602" s="7"/>
      <c r="N602" s="206"/>
    </row>
    <row r="603" spans="1:14" s="6" customFormat="1" ht="15" customHeight="1" x14ac:dyDescent="0.25">
      <c r="A603" s="33"/>
      <c r="B603" s="434"/>
      <c r="C603" s="471"/>
      <c r="D603" s="316"/>
      <c r="E603" s="331"/>
      <c r="F603" s="316"/>
      <c r="G603" s="331"/>
      <c r="H603" s="316"/>
      <c r="I603" s="331"/>
      <c r="J603" s="316"/>
      <c r="K603" s="331"/>
      <c r="L603" s="316"/>
      <c r="M603" s="7"/>
      <c r="N603" s="206"/>
    </row>
    <row r="604" spans="1:14" s="6" customFormat="1" ht="15" customHeight="1" x14ac:dyDescent="0.25">
      <c r="A604" s="33"/>
      <c r="B604" s="434"/>
      <c r="C604" s="318"/>
      <c r="D604" s="319"/>
      <c r="E604" s="380"/>
      <c r="F604" s="319"/>
      <c r="G604" s="381"/>
      <c r="H604" s="382"/>
      <c r="I604" s="380"/>
      <c r="J604" s="319"/>
      <c r="K604" s="380"/>
      <c r="L604" s="319"/>
      <c r="M604" s="7"/>
      <c r="N604" s="206"/>
    </row>
    <row r="605" spans="1:14" s="6" customFormat="1" ht="15" customHeight="1" x14ac:dyDescent="0.25">
      <c r="A605" s="33"/>
      <c r="B605" s="434"/>
      <c r="C605" s="213">
        <f>K598+3</f>
        <v>42303</v>
      </c>
      <c r="D605" s="211"/>
      <c r="E605" s="213">
        <f>C605+1</f>
        <v>42304</v>
      </c>
      <c r="F605" s="211"/>
      <c r="G605" s="213">
        <f>E605+1</f>
        <v>42305</v>
      </c>
      <c r="H605" s="211"/>
      <c r="I605" s="213">
        <f>G605+1</f>
        <v>42306</v>
      </c>
      <c r="J605" s="211"/>
      <c r="K605" s="213">
        <f>I605+1</f>
        <v>42307</v>
      </c>
      <c r="L605" s="211"/>
      <c r="M605" s="7"/>
      <c r="N605" s="206"/>
    </row>
    <row r="606" spans="1:14" s="6" customFormat="1" ht="15" customHeight="1" x14ac:dyDescent="0.25">
      <c r="A606" s="33"/>
      <c r="B606" s="434"/>
      <c r="C606" s="317"/>
      <c r="D606" s="316"/>
      <c r="E606" s="331"/>
      <c r="F606" s="316"/>
      <c r="G606" s="331"/>
      <c r="H606" s="316"/>
      <c r="I606" s="331"/>
      <c r="J606" s="316"/>
      <c r="K606" s="331"/>
      <c r="L606" s="316"/>
      <c r="M606" s="7"/>
      <c r="N606" s="206"/>
    </row>
    <row r="607" spans="1:14" s="6" customFormat="1" ht="15" customHeight="1" x14ac:dyDescent="0.25">
      <c r="A607" s="33"/>
      <c r="B607" s="434"/>
      <c r="C607" s="317"/>
      <c r="D607" s="316"/>
      <c r="E607" s="331"/>
      <c r="F607" s="316"/>
      <c r="G607" s="331"/>
      <c r="H607" s="316"/>
      <c r="I607" s="331"/>
      <c r="J607" s="316"/>
      <c r="K607" s="331"/>
      <c r="L607" s="316"/>
      <c r="M607" s="7"/>
      <c r="N607" s="206"/>
    </row>
    <row r="608" spans="1:14" s="6" customFormat="1" ht="15" customHeight="1" x14ac:dyDescent="0.25">
      <c r="A608" s="33"/>
      <c r="B608" s="434"/>
      <c r="C608" s="383"/>
      <c r="D608" s="384"/>
      <c r="E608" s="331"/>
      <c r="F608" s="316"/>
      <c r="G608" s="331"/>
      <c r="H608" s="316"/>
      <c r="I608" s="331"/>
      <c r="J608" s="316"/>
      <c r="K608" s="331"/>
      <c r="L608" s="316"/>
      <c r="M608" s="7"/>
      <c r="N608" s="206"/>
    </row>
    <row r="609" spans="1:14" s="6" customFormat="1" ht="15" customHeight="1" x14ac:dyDescent="0.25">
      <c r="A609" s="33"/>
      <c r="B609" s="434"/>
      <c r="C609" s="383"/>
      <c r="D609" s="384"/>
      <c r="E609" s="331"/>
      <c r="F609" s="316"/>
      <c r="G609" s="331"/>
      <c r="H609" s="316"/>
      <c r="I609" s="331"/>
      <c r="J609" s="316"/>
      <c r="K609" s="331"/>
      <c r="L609" s="316"/>
      <c r="M609" s="7"/>
      <c r="N609" s="206"/>
    </row>
    <row r="610" spans="1:14" s="6" customFormat="1" ht="15" customHeight="1" x14ac:dyDescent="0.25">
      <c r="A610" s="33"/>
      <c r="B610" s="434"/>
      <c r="C610" s="317"/>
      <c r="D610" s="316"/>
      <c r="E610" s="331"/>
      <c r="F610" s="316"/>
      <c r="G610" s="331"/>
      <c r="H610" s="316"/>
      <c r="I610" s="331"/>
      <c r="J610" s="316"/>
      <c r="K610" s="331"/>
      <c r="L610" s="316"/>
      <c r="M610" s="7"/>
      <c r="N610" s="206"/>
    </row>
    <row r="611" spans="1:14" s="6" customFormat="1" ht="15" customHeight="1" x14ac:dyDescent="0.25">
      <c r="A611" s="33"/>
      <c r="B611" s="437"/>
      <c r="C611" s="318"/>
      <c r="D611" s="319"/>
      <c r="E611" s="331"/>
      <c r="F611" s="316"/>
      <c r="G611" s="381"/>
      <c r="H611" s="382"/>
      <c r="I611" s="380"/>
      <c r="J611" s="319"/>
      <c r="K611" s="380"/>
      <c r="L611" s="319"/>
      <c r="M611" s="7"/>
      <c r="N611" s="206"/>
    </row>
    <row r="612" spans="1:14" s="6" customFormat="1" ht="15" customHeight="1" x14ac:dyDescent="0.25">
      <c r="A612" s="33"/>
      <c r="B612" s="441"/>
      <c r="C612" s="210">
        <f>K605+3</f>
        <v>42310</v>
      </c>
      <c r="D612" s="211"/>
      <c r="E612" s="213">
        <f>C612+1</f>
        <v>42311</v>
      </c>
      <c r="F612" s="211"/>
      <c r="G612" s="213">
        <f>E612+1</f>
        <v>42312</v>
      </c>
      <c r="H612" s="211"/>
      <c r="I612" s="213">
        <f>G612+1</f>
        <v>42313</v>
      </c>
      <c r="J612" s="211"/>
      <c r="K612" s="213">
        <f>I612+1</f>
        <v>42314</v>
      </c>
      <c r="L612" s="211"/>
      <c r="M612" s="7"/>
      <c r="N612" s="206"/>
    </row>
    <row r="613" spans="1:14" s="6" customFormat="1" ht="15" customHeight="1" x14ac:dyDescent="0.25">
      <c r="A613" s="33"/>
      <c r="B613" s="429"/>
      <c r="C613" s="440"/>
      <c r="D613" s="456"/>
      <c r="E613" s="331"/>
      <c r="F613" s="316"/>
      <c r="G613" s="331"/>
      <c r="H613" s="316"/>
      <c r="I613" s="331"/>
      <c r="J613" s="316"/>
      <c r="K613" s="331"/>
      <c r="L613" s="316"/>
      <c r="M613" s="7"/>
      <c r="N613" s="206"/>
    </row>
    <row r="614" spans="1:14" s="6" customFormat="1" ht="15" customHeight="1" x14ac:dyDescent="0.25">
      <c r="A614" s="34"/>
      <c r="B614" s="429"/>
      <c r="C614" s="317"/>
      <c r="D614" s="316"/>
      <c r="E614" s="331"/>
      <c r="F614" s="316"/>
      <c r="G614" s="331"/>
      <c r="H614" s="316"/>
      <c r="I614" s="331"/>
      <c r="J614" s="316"/>
      <c r="K614" s="331"/>
      <c r="L614" s="316"/>
      <c r="M614" s="7"/>
      <c r="N614" s="206"/>
    </row>
    <row r="615" spans="1:14" s="6" customFormat="1" ht="15" customHeight="1" x14ac:dyDescent="0.25">
      <c r="A615" s="33"/>
      <c r="B615" s="429"/>
      <c r="C615" s="383" t="s">
        <v>168</v>
      </c>
      <c r="D615" s="384"/>
      <c r="E615" s="331"/>
      <c r="F615" s="316"/>
      <c r="G615" s="331"/>
      <c r="H615" s="316"/>
      <c r="I615" s="331"/>
      <c r="J615" s="316"/>
      <c r="K615" s="331"/>
      <c r="L615" s="316"/>
      <c r="M615" s="7"/>
      <c r="N615" s="206"/>
    </row>
    <row r="616" spans="1:14" s="6" customFormat="1" ht="15" customHeight="1" x14ac:dyDescent="0.25">
      <c r="A616" s="33"/>
      <c r="B616" s="429"/>
      <c r="C616" s="317"/>
      <c r="D616" s="316"/>
      <c r="E616" s="331"/>
      <c r="F616" s="316"/>
      <c r="G616" s="331"/>
      <c r="H616" s="316"/>
      <c r="I616" s="331"/>
      <c r="J616" s="316"/>
      <c r="K616" s="331"/>
      <c r="L616" s="316"/>
      <c r="M616" s="7"/>
      <c r="N616" s="206"/>
    </row>
    <row r="617" spans="1:14" s="6" customFormat="1" ht="15" customHeight="1" x14ac:dyDescent="0.25">
      <c r="A617" s="33"/>
      <c r="B617" s="429"/>
      <c r="C617" s="317"/>
      <c r="D617" s="316"/>
      <c r="E617" s="331"/>
      <c r="F617" s="316"/>
      <c r="G617" s="331"/>
      <c r="H617" s="316"/>
      <c r="I617" s="331"/>
      <c r="J617" s="316"/>
      <c r="K617" s="331"/>
      <c r="L617" s="316"/>
      <c r="M617" s="7"/>
      <c r="N617" s="206"/>
    </row>
    <row r="618" spans="1:14" s="6" customFormat="1" ht="15" customHeight="1" x14ac:dyDescent="0.25">
      <c r="A618" s="33"/>
      <c r="B618" s="429"/>
      <c r="C618" s="318"/>
      <c r="D618" s="319"/>
      <c r="E618" s="380"/>
      <c r="F618" s="319"/>
      <c r="G618" s="381"/>
      <c r="H618" s="382"/>
      <c r="I618" s="331"/>
      <c r="J618" s="316"/>
      <c r="K618" s="331"/>
      <c r="L618" s="316"/>
      <c r="M618" s="7"/>
      <c r="N618" s="206"/>
    </row>
    <row r="619" spans="1:14" s="6" customFormat="1" ht="15" customHeight="1" x14ac:dyDescent="0.25">
      <c r="A619" s="33"/>
      <c r="B619" s="429"/>
      <c r="C619" s="210">
        <f>K612+3</f>
        <v>42317</v>
      </c>
      <c r="D619" s="211"/>
      <c r="E619" s="213">
        <f>C619+1</f>
        <v>42318</v>
      </c>
      <c r="F619" s="211"/>
      <c r="G619" s="213">
        <f>E619+1</f>
        <v>42319</v>
      </c>
      <c r="H619" s="211"/>
      <c r="I619" s="213">
        <f>G619+1</f>
        <v>42320</v>
      </c>
      <c r="J619" s="211"/>
      <c r="K619" s="213">
        <f>I619+1</f>
        <v>42321</v>
      </c>
      <c r="L619" s="211"/>
      <c r="M619" s="7"/>
      <c r="N619" s="206"/>
    </row>
    <row r="620" spans="1:14" s="6" customFormat="1" ht="15" customHeight="1" x14ac:dyDescent="0.25">
      <c r="A620" s="33"/>
      <c r="B620" s="429"/>
      <c r="C620" s="383"/>
      <c r="D620" s="384"/>
      <c r="E620" s="331"/>
      <c r="F620" s="316"/>
      <c r="G620" s="331"/>
      <c r="H620" s="316"/>
      <c r="I620" s="331"/>
      <c r="J620" s="316"/>
      <c r="K620" s="331"/>
      <c r="L620" s="316"/>
      <c r="M620" s="7"/>
      <c r="N620" s="206"/>
    </row>
    <row r="621" spans="1:14" s="6" customFormat="1" ht="15" customHeight="1" x14ac:dyDescent="0.25">
      <c r="A621" s="33"/>
      <c r="B621" s="429"/>
      <c r="C621" s="317"/>
      <c r="D621" s="316"/>
      <c r="E621" s="331"/>
      <c r="F621" s="316"/>
      <c r="G621" s="331"/>
      <c r="H621" s="316"/>
      <c r="I621" s="331"/>
      <c r="J621" s="316"/>
      <c r="K621" s="331"/>
      <c r="L621" s="316"/>
      <c r="M621" s="7"/>
      <c r="N621" s="206"/>
    </row>
    <row r="622" spans="1:14" s="6" customFormat="1" ht="15" customHeight="1" x14ac:dyDescent="0.25">
      <c r="A622" s="33"/>
      <c r="B622" s="429"/>
      <c r="C622" s="383"/>
      <c r="D622" s="384"/>
      <c r="E622" s="459"/>
      <c r="F622" s="316"/>
      <c r="G622" s="331"/>
      <c r="H622" s="316"/>
      <c r="I622" s="331"/>
      <c r="J622" s="316"/>
      <c r="K622" s="331"/>
      <c r="L622" s="316"/>
      <c r="M622" s="7"/>
      <c r="N622" s="206"/>
    </row>
    <row r="623" spans="1:14" s="6" customFormat="1" ht="15" customHeight="1" x14ac:dyDescent="0.25">
      <c r="A623" s="33"/>
      <c r="B623" s="429"/>
      <c r="C623" s="317"/>
      <c r="D623" s="316"/>
      <c r="E623" s="459"/>
      <c r="F623" s="316"/>
      <c r="G623" s="331"/>
      <c r="H623" s="316"/>
      <c r="I623" s="331"/>
      <c r="J623" s="316"/>
      <c r="K623" s="331"/>
      <c r="L623" s="316"/>
      <c r="M623" s="7"/>
      <c r="N623" s="206"/>
    </row>
    <row r="624" spans="1:14" s="6" customFormat="1" ht="15" customHeight="1" x14ac:dyDescent="0.25">
      <c r="A624" s="33"/>
      <c r="B624" s="429"/>
      <c r="C624" s="317"/>
      <c r="D624" s="316"/>
      <c r="E624" s="331"/>
      <c r="F624" s="316"/>
      <c r="G624" s="331"/>
      <c r="H624" s="316"/>
      <c r="I624" s="331"/>
      <c r="J624" s="316"/>
      <c r="K624" s="331"/>
      <c r="L624" s="316"/>
      <c r="M624" s="7"/>
      <c r="N624" s="206"/>
    </row>
    <row r="625" spans="1:14" s="6" customFormat="1" ht="15" customHeight="1" x14ac:dyDescent="0.25">
      <c r="A625" s="33"/>
      <c r="B625" s="429"/>
      <c r="C625" s="318"/>
      <c r="D625" s="319"/>
      <c r="E625" s="380"/>
      <c r="F625" s="319"/>
      <c r="G625" s="381"/>
      <c r="H625" s="382"/>
      <c r="I625" s="380"/>
      <c r="J625" s="319"/>
      <c r="K625" s="380"/>
      <c r="L625" s="319"/>
      <c r="M625" s="7"/>
      <c r="N625" s="206"/>
    </row>
    <row r="626" spans="1:14" s="6" customFormat="1" ht="15" customHeight="1" x14ac:dyDescent="0.25">
      <c r="A626" s="33"/>
      <c r="B626" s="429"/>
      <c r="C626" s="210">
        <f>K619+3</f>
        <v>42324</v>
      </c>
      <c r="D626" s="211"/>
      <c r="E626" s="213">
        <f>C626+1</f>
        <v>42325</v>
      </c>
      <c r="F626" s="211"/>
      <c r="G626" s="213">
        <f>E626+1</f>
        <v>42326</v>
      </c>
      <c r="H626" s="211"/>
      <c r="I626" s="213">
        <f>G626+1</f>
        <v>42327</v>
      </c>
      <c r="J626" s="211"/>
      <c r="K626" s="213">
        <f>I626+1</f>
        <v>42328</v>
      </c>
      <c r="L626" s="211"/>
      <c r="M626" s="7"/>
      <c r="N626" s="206"/>
    </row>
    <row r="627" spans="1:14" s="6" customFormat="1" ht="15" customHeight="1" x14ac:dyDescent="0.25">
      <c r="A627" s="33"/>
      <c r="B627" s="429"/>
      <c r="C627" s="440"/>
      <c r="D627" s="456"/>
      <c r="E627" s="331"/>
      <c r="F627" s="316"/>
      <c r="G627" s="331"/>
      <c r="H627" s="316"/>
      <c r="I627" s="331"/>
      <c r="J627" s="316"/>
      <c r="K627" s="331"/>
      <c r="L627" s="316"/>
      <c r="M627" s="7"/>
      <c r="N627" s="206"/>
    </row>
    <row r="628" spans="1:14" s="6" customFormat="1" ht="15" customHeight="1" x14ac:dyDescent="0.25">
      <c r="A628" s="33"/>
      <c r="B628" s="429"/>
      <c r="C628" s="383" t="s">
        <v>168</v>
      </c>
      <c r="D628" s="384"/>
      <c r="E628" s="331"/>
      <c r="F628" s="316"/>
      <c r="G628" s="331"/>
      <c r="H628" s="316"/>
      <c r="I628" s="331"/>
      <c r="J628" s="316"/>
      <c r="K628" s="331"/>
      <c r="L628" s="316"/>
      <c r="M628" s="7"/>
      <c r="N628" s="206"/>
    </row>
    <row r="629" spans="1:14" s="6" customFormat="1" ht="15" customHeight="1" x14ac:dyDescent="0.25">
      <c r="A629" s="33"/>
      <c r="B629" s="429"/>
      <c r="C629" s="317"/>
      <c r="D629" s="316"/>
      <c r="E629" s="331"/>
      <c r="F629" s="316"/>
      <c r="G629" s="331"/>
      <c r="H629" s="316"/>
      <c r="I629" s="331"/>
      <c r="J629" s="316"/>
      <c r="K629" s="331"/>
      <c r="L629" s="316"/>
      <c r="M629" s="7"/>
      <c r="N629" s="206"/>
    </row>
    <row r="630" spans="1:14" s="6" customFormat="1" ht="15" customHeight="1" x14ac:dyDescent="0.25">
      <c r="A630" s="33"/>
      <c r="B630" s="429"/>
      <c r="C630" s="317"/>
      <c r="D630" s="316"/>
      <c r="E630" s="331"/>
      <c r="F630" s="316"/>
      <c r="G630" s="331"/>
      <c r="H630" s="316"/>
      <c r="I630" s="331"/>
      <c r="J630" s="316"/>
      <c r="K630" s="331"/>
      <c r="L630" s="316"/>
      <c r="M630" s="7"/>
      <c r="N630" s="206"/>
    </row>
    <row r="631" spans="1:14" s="6" customFormat="1" ht="15" customHeight="1" x14ac:dyDescent="0.25">
      <c r="A631" s="33"/>
      <c r="B631" s="429"/>
      <c r="C631" s="317"/>
      <c r="D631" s="316"/>
      <c r="E631" s="331"/>
      <c r="F631" s="316"/>
      <c r="G631" s="331"/>
      <c r="H631" s="316"/>
      <c r="I631" s="331"/>
      <c r="J631" s="316"/>
      <c r="K631" s="331"/>
      <c r="L631" s="316"/>
      <c r="M631" s="7"/>
      <c r="N631" s="206"/>
    </row>
    <row r="632" spans="1:14" s="6" customFormat="1" ht="15" customHeight="1" x14ac:dyDescent="0.25">
      <c r="A632" s="33"/>
      <c r="B632" s="429"/>
      <c r="C632" s="318"/>
      <c r="D632" s="319"/>
      <c r="E632" s="380"/>
      <c r="F632" s="319"/>
      <c r="G632" s="381"/>
      <c r="H632" s="382"/>
      <c r="I632" s="380"/>
      <c r="J632" s="319"/>
      <c r="K632" s="380"/>
      <c r="L632" s="319"/>
      <c r="M632" s="7"/>
      <c r="N632" s="206"/>
    </row>
    <row r="633" spans="1:14" s="6" customFormat="1" ht="15" customHeight="1" x14ac:dyDescent="0.25">
      <c r="A633" s="33"/>
      <c r="B633" s="429" t="s">
        <v>40</v>
      </c>
      <c r="C633" s="210">
        <f>K626+3</f>
        <v>42331</v>
      </c>
      <c r="D633" s="211"/>
      <c r="E633" s="213">
        <f>C633+1</f>
        <v>42332</v>
      </c>
      <c r="F633" s="211"/>
      <c r="G633" s="213">
        <f>E633+1</f>
        <v>42333</v>
      </c>
      <c r="H633" s="211"/>
      <c r="I633" s="213">
        <f>G633+1</f>
        <v>42334</v>
      </c>
      <c r="J633" s="211"/>
      <c r="K633" s="213">
        <f>I633+1</f>
        <v>42335</v>
      </c>
      <c r="L633" s="211"/>
      <c r="M633" s="7"/>
      <c r="N633" s="206"/>
    </row>
    <row r="634" spans="1:14" s="6" customFormat="1" ht="15" customHeight="1" x14ac:dyDescent="0.25">
      <c r="A634" s="33"/>
      <c r="B634" s="429"/>
      <c r="C634" s="317"/>
      <c r="D634" s="316"/>
      <c r="E634" s="331"/>
      <c r="F634" s="316"/>
      <c r="G634" s="331"/>
      <c r="H634" s="316"/>
      <c r="I634" s="331"/>
      <c r="J634" s="316"/>
      <c r="K634" s="331"/>
      <c r="L634" s="316"/>
      <c r="M634" s="7"/>
      <c r="N634" s="206"/>
    </row>
    <row r="635" spans="1:14" s="6" customFormat="1" ht="15" customHeight="1" x14ac:dyDescent="0.25">
      <c r="A635" s="33"/>
      <c r="B635" s="429"/>
      <c r="C635" s="383" t="s">
        <v>168</v>
      </c>
      <c r="D635" s="384"/>
      <c r="E635" s="331"/>
      <c r="F635" s="316"/>
      <c r="G635" s="331"/>
      <c r="H635" s="316"/>
      <c r="I635" s="331"/>
      <c r="J635" s="316"/>
      <c r="K635" s="331"/>
      <c r="L635" s="316"/>
      <c r="M635" s="7"/>
      <c r="N635" s="206"/>
    </row>
    <row r="636" spans="1:14" s="6" customFormat="1" ht="15" customHeight="1" x14ac:dyDescent="0.25">
      <c r="A636" s="33"/>
      <c r="B636" s="429"/>
      <c r="C636" s="317"/>
      <c r="D636" s="316"/>
      <c r="E636" s="331"/>
      <c r="F636" s="316"/>
      <c r="G636" s="331"/>
      <c r="H636" s="316"/>
      <c r="I636" s="331"/>
      <c r="J636" s="316"/>
      <c r="K636" s="331"/>
      <c r="L636" s="316"/>
      <c r="M636" s="7"/>
      <c r="N636" s="206"/>
    </row>
    <row r="637" spans="1:14" s="6" customFormat="1" ht="15" customHeight="1" x14ac:dyDescent="0.25">
      <c r="A637" s="33"/>
      <c r="B637" s="429"/>
      <c r="C637" s="317"/>
      <c r="D637" s="316"/>
      <c r="E637" s="331"/>
      <c r="F637" s="316"/>
      <c r="G637" s="331"/>
      <c r="H637" s="316"/>
      <c r="I637" s="331"/>
      <c r="J637" s="316"/>
      <c r="K637" s="331"/>
      <c r="L637" s="316"/>
      <c r="M637" s="7"/>
      <c r="N637" s="206"/>
    </row>
    <row r="638" spans="1:14" s="6" customFormat="1" ht="15" customHeight="1" x14ac:dyDescent="0.25">
      <c r="A638" s="33"/>
      <c r="B638" s="429"/>
      <c r="C638" s="317"/>
      <c r="D638" s="316"/>
      <c r="E638" s="331"/>
      <c r="F638" s="316"/>
      <c r="G638" s="331"/>
      <c r="H638" s="316"/>
      <c r="I638" s="331"/>
      <c r="J638" s="316"/>
      <c r="K638" s="331"/>
      <c r="L638" s="316"/>
      <c r="M638" s="7"/>
      <c r="N638" s="206"/>
    </row>
    <row r="639" spans="1:14" s="6" customFormat="1" ht="15" customHeight="1" x14ac:dyDescent="0.25">
      <c r="A639" s="33"/>
      <c r="B639" s="429"/>
      <c r="C639" s="318"/>
      <c r="D639" s="319"/>
      <c r="E639" s="380"/>
      <c r="F639" s="319"/>
      <c r="G639" s="381"/>
      <c r="H639" s="382"/>
      <c r="I639" s="380"/>
      <c r="J639" s="319"/>
      <c r="K639" s="380"/>
      <c r="L639" s="319"/>
      <c r="M639" s="7"/>
      <c r="N639" s="206"/>
    </row>
    <row r="640" spans="1:14" s="6" customFormat="1" ht="15" customHeight="1" x14ac:dyDescent="0.25">
      <c r="A640" s="33"/>
      <c r="B640" s="429"/>
      <c r="C640" s="210">
        <f>K633+3</f>
        <v>42338</v>
      </c>
      <c r="D640" s="211"/>
      <c r="E640" s="213">
        <f>C640+1</f>
        <v>42339</v>
      </c>
      <c r="F640" s="211"/>
      <c r="G640" s="213">
        <f>E640+1</f>
        <v>42340</v>
      </c>
      <c r="H640" s="211"/>
      <c r="I640" s="213">
        <f>G640+1</f>
        <v>42341</v>
      </c>
      <c r="J640" s="211"/>
      <c r="K640" s="213">
        <f>I640+1</f>
        <v>42342</v>
      </c>
      <c r="L640" s="211"/>
      <c r="M640" s="7"/>
      <c r="N640" s="206"/>
    </row>
    <row r="641" spans="1:14" s="6" customFormat="1" ht="15" customHeight="1" x14ac:dyDescent="0.25">
      <c r="A641" s="33"/>
      <c r="B641" s="429"/>
      <c r="C641" s="440"/>
      <c r="D641" s="456"/>
      <c r="E641" s="331"/>
      <c r="F641" s="316"/>
      <c r="G641" s="331"/>
      <c r="H641" s="316"/>
      <c r="I641" s="331"/>
      <c r="J641" s="316"/>
      <c r="K641" s="331"/>
      <c r="L641" s="316"/>
      <c r="M641" s="7"/>
      <c r="N641" s="206"/>
    </row>
    <row r="642" spans="1:14" s="6" customFormat="1" ht="15" customHeight="1" x14ac:dyDescent="0.25">
      <c r="A642" s="33"/>
      <c r="B642" s="429"/>
      <c r="C642" s="317"/>
      <c r="D642" s="316"/>
      <c r="E642" s="331"/>
      <c r="F642" s="316"/>
      <c r="G642" s="331"/>
      <c r="H642" s="316"/>
      <c r="I642" s="331"/>
      <c r="J642" s="316"/>
      <c r="K642" s="331"/>
      <c r="L642" s="316"/>
      <c r="M642" s="7"/>
      <c r="N642" s="206"/>
    </row>
    <row r="643" spans="1:14" s="6" customFormat="1" ht="15" customHeight="1" x14ac:dyDescent="0.25">
      <c r="A643" s="33"/>
      <c r="B643" s="429"/>
      <c r="C643" s="383"/>
      <c r="D643" s="384"/>
      <c r="E643" s="331"/>
      <c r="F643" s="316"/>
      <c r="G643" s="331"/>
      <c r="H643" s="316"/>
      <c r="I643" s="331"/>
      <c r="J643" s="316"/>
      <c r="K643" s="331"/>
      <c r="L643" s="316"/>
      <c r="M643" s="7"/>
      <c r="N643" s="206"/>
    </row>
    <row r="644" spans="1:14" s="6" customFormat="1" ht="15" customHeight="1" x14ac:dyDescent="0.25">
      <c r="A644" s="33"/>
      <c r="B644" s="429"/>
      <c r="C644" s="317"/>
      <c r="D644" s="316"/>
      <c r="E644" s="331"/>
      <c r="F644" s="316"/>
      <c r="G644" s="331"/>
      <c r="H644" s="316"/>
      <c r="I644" s="331"/>
      <c r="J644" s="316"/>
      <c r="K644" s="331"/>
      <c r="L644" s="316"/>
      <c r="M644" s="7"/>
      <c r="N644" s="206"/>
    </row>
    <row r="645" spans="1:14" s="6" customFormat="1" ht="15" customHeight="1" x14ac:dyDescent="0.25">
      <c r="A645" s="33"/>
      <c r="B645" s="429"/>
      <c r="C645" s="317"/>
      <c r="D645" s="316"/>
      <c r="E645" s="331"/>
      <c r="F645" s="316"/>
      <c r="G645" s="331"/>
      <c r="H645" s="316"/>
      <c r="I645" s="331"/>
      <c r="J645" s="316"/>
      <c r="K645" s="331"/>
      <c r="L645" s="316"/>
      <c r="M645" s="7"/>
      <c r="N645" s="206"/>
    </row>
    <row r="646" spans="1:14" s="6" customFormat="1" ht="15" customHeight="1" x14ac:dyDescent="0.25">
      <c r="A646" s="33"/>
      <c r="B646" s="430"/>
      <c r="C646" s="318"/>
      <c r="D646" s="319"/>
      <c r="E646" s="380"/>
      <c r="F646" s="319"/>
      <c r="G646" s="381"/>
      <c r="H646" s="382"/>
      <c r="I646" s="380"/>
      <c r="J646" s="319"/>
      <c r="K646" s="380"/>
      <c r="L646" s="319"/>
      <c r="M646" s="7"/>
      <c r="N646" s="206"/>
    </row>
    <row r="647" spans="1:14" s="6" customFormat="1" ht="15" customHeight="1" x14ac:dyDescent="0.25">
      <c r="A647" s="33"/>
      <c r="B647" s="435"/>
      <c r="C647" s="210">
        <f>K640+3</f>
        <v>42345</v>
      </c>
      <c r="D647" s="211"/>
      <c r="E647" s="213">
        <f>C647+1</f>
        <v>42346</v>
      </c>
      <c r="F647" s="211"/>
      <c r="G647" s="213">
        <f>E647+1</f>
        <v>42347</v>
      </c>
      <c r="H647" s="211"/>
      <c r="I647" s="213">
        <f>G647+1</f>
        <v>42348</v>
      </c>
      <c r="J647" s="211"/>
      <c r="K647" s="213">
        <f>I647+1</f>
        <v>42349</v>
      </c>
      <c r="L647" s="211"/>
      <c r="M647" s="7"/>
      <c r="N647" s="206"/>
    </row>
    <row r="648" spans="1:14" s="6" customFormat="1" ht="15" customHeight="1" x14ac:dyDescent="0.25">
      <c r="A648" s="33"/>
      <c r="B648" s="434"/>
      <c r="C648" s="317"/>
      <c r="D648" s="316"/>
      <c r="E648" s="331"/>
      <c r="F648" s="316"/>
      <c r="G648" s="331"/>
      <c r="H648" s="316"/>
      <c r="I648" s="331"/>
      <c r="J648" s="316"/>
      <c r="K648" s="331"/>
      <c r="L648" s="316"/>
      <c r="M648" s="7"/>
      <c r="N648" s="206"/>
    </row>
    <row r="649" spans="1:14" s="6" customFormat="1" ht="15" customHeight="1" x14ac:dyDescent="0.25">
      <c r="A649" s="33"/>
      <c r="B649" s="434"/>
      <c r="C649" s="317"/>
      <c r="D649" s="316"/>
      <c r="E649" s="331"/>
      <c r="F649" s="316"/>
      <c r="G649" s="331"/>
      <c r="H649" s="316"/>
      <c r="I649" s="331"/>
      <c r="J649" s="316"/>
      <c r="K649" s="331"/>
      <c r="L649" s="316"/>
      <c r="M649" s="7"/>
      <c r="N649" s="206"/>
    </row>
    <row r="650" spans="1:14" s="6" customFormat="1" ht="15" customHeight="1" x14ac:dyDescent="0.25">
      <c r="A650" s="33"/>
      <c r="B650" s="434"/>
      <c r="C650" s="383"/>
      <c r="D650" s="384"/>
      <c r="E650" s="331"/>
      <c r="F650" s="316"/>
      <c r="G650" s="331"/>
      <c r="H650" s="316"/>
      <c r="I650" s="331"/>
      <c r="J650" s="316"/>
      <c r="K650" s="331"/>
      <c r="L650" s="316"/>
      <c r="M650" s="7"/>
      <c r="N650" s="206"/>
    </row>
    <row r="651" spans="1:14" s="6" customFormat="1" ht="15" customHeight="1" x14ac:dyDescent="0.25">
      <c r="A651" s="33"/>
      <c r="B651" s="434"/>
      <c r="C651" s="317"/>
      <c r="D651" s="316"/>
      <c r="E651" s="331"/>
      <c r="F651" s="316"/>
      <c r="G651" s="331"/>
      <c r="H651" s="316"/>
      <c r="I651" s="474"/>
      <c r="J651" s="316"/>
      <c r="K651" s="474"/>
      <c r="L651" s="316"/>
      <c r="M651" s="7"/>
      <c r="N651" s="206"/>
    </row>
    <row r="652" spans="1:14" s="6" customFormat="1" ht="15" customHeight="1" x14ac:dyDescent="0.25">
      <c r="A652" s="33"/>
      <c r="B652" s="434"/>
      <c r="C652" s="317"/>
      <c r="D652" s="316"/>
      <c r="E652" s="331"/>
      <c r="F652" s="316"/>
      <c r="G652" s="331"/>
      <c r="H652" s="316"/>
      <c r="I652" s="331"/>
      <c r="J652" s="316"/>
      <c r="K652" s="331"/>
      <c r="L652" s="316"/>
      <c r="M652" s="7"/>
      <c r="N652" s="206"/>
    </row>
    <row r="653" spans="1:14" s="6" customFormat="1" ht="15" customHeight="1" x14ac:dyDescent="0.25">
      <c r="A653" s="33"/>
      <c r="B653" s="434"/>
      <c r="C653" s="318"/>
      <c r="D653" s="319"/>
      <c r="E653" s="380"/>
      <c r="F653" s="319"/>
      <c r="G653" s="381"/>
      <c r="H653" s="382"/>
      <c r="I653" s="380"/>
      <c r="J653" s="319"/>
      <c r="K653" s="380"/>
      <c r="L653" s="319"/>
      <c r="M653" s="7"/>
      <c r="N653" s="206"/>
    </row>
    <row r="654" spans="1:14" s="6" customFormat="1" ht="15" customHeight="1" x14ac:dyDescent="0.25">
      <c r="A654" s="33"/>
      <c r="B654" s="42"/>
      <c r="C654" s="210">
        <f>K647+3</f>
        <v>42352</v>
      </c>
      <c r="D654" s="211"/>
      <c r="E654" s="213">
        <f>C654+1</f>
        <v>42353</v>
      </c>
      <c r="F654" s="211"/>
      <c r="G654" s="213">
        <f>E654+1</f>
        <v>42354</v>
      </c>
      <c r="H654" s="211"/>
      <c r="I654" s="213">
        <f>G654+1</f>
        <v>42355</v>
      </c>
      <c r="J654" s="211"/>
      <c r="K654" s="213">
        <f>I654+1</f>
        <v>42356</v>
      </c>
      <c r="L654" s="211"/>
      <c r="M654" s="7"/>
      <c r="N654" s="215"/>
    </row>
    <row r="655" spans="1:14" s="6" customFormat="1" ht="15" customHeight="1" x14ac:dyDescent="0.25">
      <c r="A655" s="33"/>
      <c r="B655" s="42"/>
      <c r="C655" s="440"/>
      <c r="D655" s="456"/>
      <c r="E655" s="331"/>
      <c r="F655" s="316"/>
      <c r="G655" s="331"/>
      <c r="H655" s="316"/>
      <c r="I655" s="331"/>
      <c r="J655" s="316"/>
      <c r="K655" s="331"/>
      <c r="L655" s="316"/>
      <c r="M655" s="7"/>
      <c r="N655" s="215"/>
    </row>
    <row r="656" spans="1:14" s="6" customFormat="1" ht="15" customHeight="1" x14ac:dyDescent="0.25">
      <c r="A656" s="33"/>
      <c r="B656" s="42"/>
      <c r="C656" s="317"/>
      <c r="D656" s="316"/>
      <c r="E656" s="331"/>
      <c r="F656" s="316"/>
      <c r="G656" s="331"/>
      <c r="H656" s="316"/>
      <c r="I656" s="331"/>
      <c r="J656" s="316"/>
      <c r="K656" s="331"/>
      <c r="L656" s="316"/>
      <c r="M656" s="7"/>
      <c r="N656" s="215"/>
    </row>
    <row r="657" spans="1:14" s="6" customFormat="1" ht="15" customHeight="1" x14ac:dyDescent="0.25">
      <c r="A657" s="33"/>
      <c r="B657" s="42"/>
      <c r="C657" s="383" t="s">
        <v>168</v>
      </c>
      <c r="D657" s="384"/>
      <c r="E657" s="331"/>
      <c r="F657" s="316"/>
      <c r="G657" s="331"/>
      <c r="H657" s="316"/>
      <c r="I657" s="331"/>
      <c r="J657" s="316"/>
      <c r="K657" s="331"/>
      <c r="L657" s="316"/>
      <c r="M657" s="7"/>
      <c r="N657" s="215"/>
    </row>
    <row r="658" spans="1:14" s="6" customFormat="1" ht="15" customHeight="1" x14ac:dyDescent="0.25">
      <c r="A658" s="33"/>
      <c r="B658" s="42"/>
      <c r="C658" s="317"/>
      <c r="D658" s="316"/>
      <c r="E658" s="331"/>
      <c r="F658" s="316"/>
      <c r="G658" s="331"/>
      <c r="H658" s="316"/>
      <c r="I658" s="331"/>
      <c r="J658" s="316"/>
      <c r="K658" s="331"/>
      <c r="L658" s="316"/>
      <c r="M658" s="7"/>
      <c r="N658" s="215"/>
    </row>
    <row r="659" spans="1:14" s="6" customFormat="1" ht="15" customHeight="1" x14ac:dyDescent="0.25">
      <c r="A659" s="33"/>
      <c r="B659" s="42"/>
      <c r="C659" s="317"/>
      <c r="D659" s="316"/>
      <c r="E659" s="331"/>
      <c r="F659" s="316"/>
      <c r="G659" s="331"/>
      <c r="H659" s="316"/>
      <c r="I659" s="331"/>
      <c r="J659" s="316"/>
      <c r="K659" s="331"/>
      <c r="L659" s="316"/>
      <c r="M659" s="7"/>
      <c r="N659" s="215"/>
    </row>
    <row r="660" spans="1:14" s="6" customFormat="1" ht="15" customHeight="1" x14ac:dyDescent="0.25">
      <c r="A660" s="33"/>
      <c r="B660" s="42"/>
      <c r="C660" s="318"/>
      <c r="D660" s="319"/>
      <c r="E660" s="380"/>
      <c r="F660" s="319"/>
      <c r="G660" s="381"/>
      <c r="H660" s="382"/>
      <c r="I660" s="380"/>
      <c r="J660" s="319"/>
      <c r="K660" s="380"/>
      <c r="L660" s="319"/>
      <c r="M660" s="7"/>
      <c r="N660" s="215"/>
    </row>
    <row r="661" spans="1:14" s="6" customFormat="1" ht="15" customHeight="1" x14ac:dyDescent="0.25">
      <c r="A661" s="33"/>
      <c r="B661" s="434" t="s">
        <v>39</v>
      </c>
      <c r="C661" s="210">
        <f>K654+3</f>
        <v>42359</v>
      </c>
      <c r="D661" s="211"/>
      <c r="E661" s="213">
        <f>C661+1</f>
        <v>42360</v>
      </c>
      <c r="F661" s="211"/>
      <c r="G661" s="213">
        <f>E661+1</f>
        <v>42361</v>
      </c>
      <c r="H661" s="211"/>
      <c r="I661" s="213">
        <f>G661+1</f>
        <v>42362</v>
      </c>
      <c r="J661" s="211"/>
      <c r="K661" s="213">
        <f>I661+1</f>
        <v>42363</v>
      </c>
      <c r="L661" s="211"/>
      <c r="M661" s="7"/>
      <c r="N661" s="215"/>
    </row>
    <row r="662" spans="1:14" s="6" customFormat="1" ht="15" customHeight="1" x14ac:dyDescent="0.25">
      <c r="A662" s="33"/>
      <c r="B662" s="434"/>
      <c r="C662" s="317"/>
      <c r="D662" s="316"/>
      <c r="E662" s="331"/>
      <c r="F662" s="316"/>
      <c r="G662" s="331"/>
      <c r="H662" s="316"/>
      <c r="I662" s="331"/>
      <c r="J662" s="316"/>
      <c r="K662" s="331"/>
      <c r="L662" s="316"/>
      <c r="M662" s="7"/>
      <c r="N662" s="215"/>
    </row>
    <row r="663" spans="1:14" s="6" customFormat="1" ht="15" customHeight="1" x14ac:dyDescent="0.25">
      <c r="A663" s="33"/>
      <c r="B663" s="434"/>
      <c r="C663" s="317"/>
      <c r="D663" s="316"/>
      <c r="E663" s="331"/>
      <c r="F663" s="316"/>
      <c r="G663" s="331"/>
      <c r="H663" s="316"/>
      <c r="I663" s="331"/>
      <c r="J663" s="316"/>
      <c r="K663" s="331"/>
      <c r="L663" s="316"/>
      <c r="M663" s="7"/>
      <c r="N663" s="215"/>
    </row>
    <row r="664" spans="1:14" s="6" customFormat="1" ht="15" customHeight="1" x14ac:dyDescent="0.25">
      <c r="A664" s="33"/>
      <c r="B664" s="434"/>
      <c r="C664" s="383"/>
      <c r="D664" s="384"/>
      <c r="E664" s="331"/>
      <c r="F664" s="316"/>
      <c r="G664" s="331"/>
      <c r="H664" s="316"/>
      <c r="I664" s="331"/>
      <c r="J664" s="316"/>
      <c r="K664" s="331"/>
      <c r="L664" s="316"/>
      <c r="M664" s="7"/>
      <c r="N664" s="215"/>
    </row>
    <row r="665" spans="1:14" s="6" customFormat="1" ht="15" customHeight="1" x14ac:dyDescent="0.25">
      <c r="A665" s="33"/>
      <c r="B665" s="434"/>
      <c r="C665" s="317"/>
      <c r="D665" s="316"/>
      <c r="E665" s="331"/>
      <c r="F665" s="316"/>
      <c r="G665" s="331"/>
      <c r="H665" s="316"/>
      <c r="I665" s="331"/>
      <c r="J665" s="316"/>
      <c r="K665" s="331"/>
      <c r="L665" s="316"/>
      <c r="M665" s="7"/>
      <c r="N665" s="215"/>
    </row>
    <row r="666" spans="1:14" s="6" customFormat="1" ht="15" customHeight="1" x14ac:dyDescent="0.25">
      <c r="A666" s="33"/>
      <c r="B666" s="434"/>
      <c r="C666" s="317"/>
      <c r="D666" s="316"/>
      <c r="E666" s="331"/>
      <c r="F666" s="316"/>
      <c r="G666" s="331"/>
      <c r="H666" s="316"/>
      <c r="I666" s="331"/>
      <c r="J666" s="316"/>
      <c r="K666" s="331"/>
      <c r="L666" s="316"/>
      <c r="M666" s="7"/>
      <c r="N666" s="215"/>
    </row>
    <row r="667" spans="1:14" s="6" customFormat="1" ht="15" customHeight="1" x14ac:dyDescent="0.25">
      <c r="A667" s="33"/>
      <c r="B667" s="434"/>
      <c r="C667" s="317"/>
      <c r="D667" s="316"/>
      <c r="E667" s="380"/>
      <c r="F667" s="319"/>
      <c r="G667" s="381"/>
      <c r="H667" s="382"/>
      <c r="I667" s="380"/>
      <c r="J667" s="319"/>
      <c r="K667" s="380"/>
      <c r="L667" s="319"/>
      <c r="M667" s="7"/>
      <c r="N667" s="215"/>
    </row>
    <row r="668" spans="1:14" s="6" customFormat="1" ht="15" customHeight="1" x14ac:dyDescent="0.25">
      <c r="A668" s="33"/>
      <c r="B668" s="434"/>
      <c r="C668" s="210">
        <f>K661+3</f>
        <v>42366</v>
      </c>
      <c r="D668" s="211"/>
      <c r="E668" s="213">
        <f>C668+1</f>
        <v>42367</v>
      </c>
      <c r="F668" s="211"/>
      <c r="G668" s="213">
        <f>E668+1</f>
        <v>42368</v>
      </c>
      <c r="H668" s="211"/>
      <c r="I668" s="213">
        <f>G668+1</f>
        <v>42369</v>
      </c>
      <c r="J668" s="211"/>
      <c r="K668" s="213">
        <f>I668+1</f>
        <v>42370</v>
      </c>
      <c r="L668" s="211"/>
      <c r="M668" s="7"/>
      <c r="N668" s="215"/>
    </row>
    <row r="669" spans="1:14" s="6" customFormat="1" ht="15" customHeight="1" x14ac:dyDescent="0.25">
      <c r="A669" s="33"/>
      <c r="B669" s="434"/>
      <c r="C669" s="440"/>
      <c r="D669" s="456"/>
      <c r="E669" s="331"/>
      <c r="F669" s="316"/>
      <c r="G669" s="331"/>
      <c r="H669" s="316"/>
      <c r="I669" s="331"/>
      <c r="J669" s="316"/>
      <c r="K669" s="331"/>
      <c r="L669" s="316"/>
      <c r="M669" s="7"/>
      <c r="N669" s="215"/>
    </row>
    <row r="670" spans="1:14" s="6" customFormat="1" ht="15" customHeight="1" x14ac:dyDescent="0.25">
      <c r="A670" s="33"/>
      <c r="B670" s="434"/>
      <c r="C670" s="317"/>
      <c r="D670" s="316"/>
      <c r="E670" s="331"/>
      <c r="F670" s="316"/>
      <c r="G670" s="331"/>
      <c r="H670" s="316"/>
      <c r="I670" s="331"/>
      <c r="J670" s="316"/>
      <c r="K670" s="331"/>
      <c r="L670" s="316"/>
      <c r="M670" s="7"/>
      <c r="N670" s="215"/>
    </row>
    <row r="671" spans="1:14" s="6" customFormat="1" ht="15" customHeight="1" x14ac:dyDescent="0.25">
      <c r="A671" s="33"/>
      <c r="B671" s="434"/>
      <c r="C671" s="383"/>
      <c r="D671" s="384"/>
      <c r="E671" s="331"/>
      <c r="F671" s="316"/>
      <c r="G671" s="331"/>
      <c r="H671" s="316"/>
      <c r="I671" s="331"/>
      <c r="J671" s="316"/>
      <c r="K671" s="331"/>
      <c r="L671" s="316"/>
      <c r="M671" s="7"/>
      <c r="N671" s="215"/>
    </row>
    <row r="672" spans="1:14" s="6" customFormat="1" ht="15" customHeight="1" x14ac:dyDescent="0.25">
      <c r="A672" s="33"/>
      <c r="B672" s="434"/>
      <c r="C672" s="317"/>
      <c r="D672" s="316"/>
      <c r="E672" s="331"/>
      <c r="F672" s="316"/>
      <c r="G672" s="331"/>
      <c r="H672" s="316"/>
      <c r="I672" s="331"/>
      <c r="J672" s="316"/>
      <c r="K672" s="331"/>
      <c r="L672" s="316"/>
      <c r="M672" s="7"/>
      <c r="N672" s="215"/>
    </row>
    <row r="673" spans="1:14" s="6" customFormat="1" ht="15" customHeight="1" x14ac:dyDescent="0.25">
      <c r="A673" s="33"/>
      <c r="B673" s="434"/>
      <c r="C673" s="317"/>
      <c r="D673" s="316"/>
      <c r="E673" s="331"/>
      <c r="F673" s="316"/>
      <c r="G673" s="331"/>
      <c r="H673" s="316"/>
      <c r="I673" s="331"/>
      <c r="J673" s="316"/>
      <c r="K673" s="331"/>
      <c r="L673" s="316"/>
      <c r="M673" s="7"/>
      <c r="N673" s="215"/>
    </row>
    <row r="674" spans="1:14" s="6" customFormat="1" ht="15" customHeight="1" x14ac:dyDescent="0.25">
      <c r="A674" s="33"/>
      <c r="B674" s="437"/>
      <c r="C674" s="317"/>
      <c r="D674" s="316"/>
      <c r="E674" s="380"/>
      <c r="F674" s="319"/>
      <c r="G674" s="381"/>
      <c r="H674" s="382"/>
      <c r="I674" s="380"/>
      <c r="J674" s="319"/>
      <c r="K674" s="380"/>
      <c r="L674" s="319"/>
      <c r="M674" s="7"/>
      <c r="N674" s="215"/>
    </row>
    <row r="675" spans="1:14" s="6" customFormat="1" ht="15" customHeight="1" x14ac:dyDescent="0.25">
      <c r="A675" s="33"/>
      <c r="B675" s="441"/>
      <c r="C675" s="210">
        <f>K668+3</f>
        <v>42373</v>
      </c>
      <c r="D675" s="211"/>
      <c r="E675" s="213">
        <f>C675+1</f>
        <v>42374</v>
      </c>
      <c r="F675" s="211"/>
      <c r="G675" s="213">
        <f>E675+1</f>
        <v>42375</v>
      </c>
      <c r="H675" s="211"/>
      <c r="I675" s="213">
        <f>G675+1</f>
        <v>42376</v>
      </c>
      <c r="J675" s="211"/>
      <c r="K675" s="213">
        <f>I675+1</f>
        <v>42377</v>
      </c>
      <c r="L675" s="211"/>
      <c r="M675" s="7"/>
      <c r="N675" s="206"/>
    </row>
    <row r="676" spans="1:14" s="6" customFormat="1" ht="15" customHeight="1" x14ac:dyDescent="0.25">
      <c r="A676" s="33"/>
      <c r="B676" s="429"/>
      <c r="C676" s="317"/>
      <c r="D676" s="316"/>
      <c r="E676" s="331"/>
      <c r="F676" s="316"/>
      <c r="G676" s="331"/>
      <c r="H676" s="316"/>
      <c r="I676" s="331"/>
      <c r="J676" s="316"/>
      <c r="K676" s="331"/>
      <c r="L676" s="316"/>
      <c r="M676" s="7"/>
      <c r="N676" s="206"/>
    </row>
    <row r="677" spans="1:14" s="6" customFormat="1" ht="15" customHeight="1" x14ac:dyDescent="0.25">
      <c r="A677" s="33"/>
      <c r="B677" s="429"/>
      <c r="C677" s="317"/>
      <c r="D677" s="316"/>
      <c r="E677" s="331"/>
      <c r="F677" s="316"/>
      <c r="G677" s="331"/>
      <c r="H677" s="316"/>
      <c r="I677" s="331"/>
      <c r="J677" s="316"/>
      <c r="K677" s="331"/>
      <c r="L677" s="316"/>
      <c r="M677" s="7"/>
      <c r="N677" s="206"/>
    </row>
    <row r="678" spans="1:14" s="6" customFormat="1" ht="15" customHeight="1" x14ac:dyDescent="0.25">
      <c r="A678" s="33"/>
      <c r="B678" s="429"/>
      <c r="C678" s="383" t="s">
        <v>168</v>
      </c>
      <c r="D678" s="384"/>
      <c r="E678" s="331"/>
      <c r="F678" s="316"/>
      <c r="G678" s="331"/>
      <c r="H678" s="316"/>
      <c r="I678" s="331"/>
      <c r="J678" s="316"/>
      <c r="K678" s="331"/>
      <c r="L678" s="316"/>
      <c r="M678" s="7"/>
      <c r="N678" s="206"/>
    </row>
    <row r="679" spans="1:14" s="6" customFormat="1" ht="15" customHeight="1" x14ac:dyDescent="0.25">
      <c r="A679" s="33"/>
      <c r="B679" s="429"/>
      <c r="C679" s="317"/>
      <c r="D679" s="316"/>
      <c r="E679" s="331"/>
      <c r="F679" s="316"/>
      <c r="G679" s="331"/>
      <c r="H679" s="316"/>
      <c r="I679" s="331"/>
      <c r="J679" s="316"/>
      <c r="K679" s="331"/>
      <c r="L679" s="316"/>
      <c r="M679" s="7"/>
      <c r="N679" s="206"/>
    </row>
    <row r="680" spans="1:14" s="6" customFormat="1" ht="15" customHeight="1" x14ac:dyDescent="0.25">
      <c r="A680" s="33"/>
      <c r="B680" s="429"/>
      <c r="C680" s="317"/>
      <c r="D680" s="316"/>
      <c r="E680" s="331"/>
      <c r="F680" s="316"/>
      <c r="G680" s="331"/>
      <c r="H680" s="316"/>
      <c r="I680" s="331"/>
      <c r="J680" s="316"/>
      <c r="K680" s="331"/>
      <c r="L680" s="316"/>
      <c r="M680" s="7"/>
      <c r="N680" s="206"/>
    </row>
    <row r="681" spans="1:14" s="6" customFormat="1" ht="15" customHeight="1" x14ac:dyDescent="0.25">
      <c r="A681" s="33"/>
      <c r="B681" s="429"/>
      <c r="C681" s="318"/>
      <c r="D681" s="319"/>
      <c r="E681" s="462"/>
      <c r="F681" s="319"/>
      <c r="G681" s="381"/>
      <c r="H681" s="382"/>
      <c r="I681" s="380"/>
      <c r="J681" s="319"/>
      <c r="K681" s="380"/>
      <c r="L681" s="319"/>
      <c r="M681" s="7"/>
      <c r="N681" s="206"/>
    </row>
    <row r="682" spans="1:14" s="6" customFormat="1" ht="15" customHeight="1" x14ac:dyDescent="0.25">
      <c r="A682" s="33"/>
      <c r="B682" s="40"/>
      <c r="C682" s="210">
        <f>K675+3</f>
        <v>42380</v>
      </c>
      <c r="D682" s="211"/>
      <c r="E682" s="213">
        <f>C682+1</f>
        <v>42381</v>
      </c>
      <c r="F682" s="211"/>
      <c r="G682" s="213">
        <f>E682+1</f>
        <v>42382</v>
      </c>
      <c r="H682" s="211"/>
      <c r="I682" s="213">
        <f>G682+1</f>
        <v>42383</v>
      </c>
      <c r="J682" s="211"/>
      <c r="K682" s="213">
        <f>I682+1</f>
        <v>42384</v>
      </c>
      <c r="L682" s="211"/>
      <c r="M682" s="7"/>
      <c r="N682" s="206"/>
    </row>
    <row r="683" spans="1:14" s="6" customFormat="1" ht="15" customHeight="1" x14ac:dyDescent="0.25">
      <c r="A683" s="33"/>
      <c r="B683" s="40"/>
      <c r="C683" s="440"/>
      <c r="D683" s="456"/>
      <c r="E683" s="331"/>
      <c r="F683" s="316"/>
      <c r="G683" s="331"/>
      <c r="H683" s="316"/>
      <c r="I683" s="331"/>
      <c r="J683" s="316"/>
      <c r="K683" s="331"/>
      <c r="L683" s="316"/>
      <c r="M683" s="7"/>
      <c r="N683" s="206"/>
    </row>
    <row r="684" spans="1:14" s="6" customFormat="1" ht="15" customHeight="1" x14ac:dyDescent="0.25">
      <c r="A684" s="33"/>
      <c r="B684" s="40"/>
      <c r="C684" s="317"/>
      <c r="D684" s="316"/>
      <c r="E684" s="331"/>
      <c r="F684" s="316"/>
      <c r="G684" s="331"/>
      <c r="H684" s="316"/>
      <c r="I684" s="331"/>
      <c r="J684" s="316"/>
      <c r="K684" s="331"/>
      <c r="L684" s="316"/>
      <c r="M684" s="7"/>
      <c r="N684" s="206"/>
    </row>
    <row r="685" spans="1:14" s="6" customFormat="1" ht="15" customHeight="1" x14ac:dyDescent="0.25">
      <c r="A685" s="33"/>
      <c r="B685" s="40"/>
      <c r="C685" s="383"/>
      <c r="D685" s="384"/>
      <c r="E685" s="331"/>
      <c r="F685" s="316"/>
      <c r="G685" s="331"/>
      <c r="H685" s="316"/>
      <c r="I685" s="331"/>
      <c r="J685" s="316"/>
      <c r="K685" s="331"/>
      <c r="L685" s="316"/>
      <c r="M685" s="7"/>
      <c r="N685" s="206"/>
    </row>
    <row r="686" spans="1:14" s="6" customFormat="1" ht="15" customHeight="1" x14ac:dyDescent="0.25">
      <c r="A686" s="33"/>
      <c r="B686" s="40"/>
      <c r="C686" s="317"/>
      <c r="D686" s="316"/>
      <c r="E686" s="331"/>
      <c r="F686" s="316"/>
      <c r="G686" s="331"/>
      <c r="H686" s="316"/>
      <c r="I686" s="331"/>
      <c r="J686" s="316"/>
      <c r="K686" s="331"/>
      <c r="L686" s="316"/>
      <c r="M686" s="7"/>
      <c r="N686" s="206"/>
    </row>
    <row r="687" spans="1:14" s="6" customFormat="1" ht="15" customHeight="1" x14ac:dyDescent="0.25">
      <c r="A687" s="33"/>
      <c r="B687" s="40"/>
      <c r="C687" s="317"/>
      <c r="D687" s="316"/>
      <c r="E687" s="331"/>
      <c r="F687" s="316"/>
      <c r="G687" s="331"/>
      <c r="H687" s="316"/>
      <c r="I687" s="331"/>
      <c r="J687" s="316"/>
      <c r="K687" s="331"/>
      <c r="L687" s="316"/>
      <c r="M687" s="7"/>
      <c r="N687" s="206"/>
    </row>
    <row r="688" spans="1:14" s="6" customFormat="1" ht="15" customHeight="1" x14ac:dyDescent="0.25">
      <c r="A688" s="33"/>
      <c r="B688" s="40"/>
      <c r="C688" s="318"/>
      <c r="D688" s="319"/>
      <c r="E688" s="380"/>
      <c r="F688" s="319"/>
      <c r="G688" s="381"/>
      <c r="H688" s="382"/>
      <c r="I688" s="380"/>
      <c r="J688" s="319"/>
      <c r="K688" s="380"/>
      <c r="L688" s="319"/>
      <c r="M688" s="7"/>
      <c r="N688" s="206"/>
    </row>
    <row r="689" spans="1:14" s="6" customFormat="1" ht="15" customHeight="1" x14ac:dyDescent="0.25">
      <c r="A689" s="33"/>
      <c r="B689" s="429" t="s">
        <v>38</v>
      </c>
      <c r="C689" s="210">
        <f>K682+3</f>
        <v>42387</v>
      </c>
      <c r="D689" s="211"/>
      <c r="E689" s="213">
        <f>C689+1</f>
        <v>42388</v>
      </c>
      <c r="F689" s="211"/>
      <c r="G689" s="213">
        <f>E689+1</f>
        <v>42389</v>
      </c>
      <c r="H689" s="211"/>
      <c r="I689" s="213">
        <f>G689+1</f>
        <v>42390</v>
      </c>
      <c r="J689" s="211"/>
      <c r="K689" s="213">
        <f>I689+1</f>
        <v>42391</v>
      </c>
      <c r="L689" s="211"/>
      <c r="M689" s="7"/>
      <c r="N689" s="206"/>
    </row>
    <row r="690" spans="1:14" s="6" customFormat="1" ht="15" customHeight="1" x14ac:dyDescent="0.25">
      <c r="A690" s="33"/>
      <c r="B690" s="429"/>
      <c r="C690" s="317"/>
      <c r="D690" s="316"/>
      <c r="E690" s="331"/>
      <c r="F690" s="316"/>
      <c r="G690" s="331"/>
      <c r="H690" s="316"/>
      <c r="I690" s="331"/>
      <c r="J690" s="316"/>
      <c r="K690" s="331"/>
      <c r="L690" s="316"/>
      <c r="M690" s="7"/>
      <c r="N690" s="206"/>
    </row>
    <row r="691" spans="1:14" s="6" customFormat="1" ht="15" customHeight="1" x14ac:dyDescent="0.25">
      <c r="A691" s="33"/>
      <c r="B691" s="429"/>
      <c r="C691" s="317"/>
      <c r="D691" s="316"/>
      <c r="E691" s="331"/>
      <c r="F691" s="316"/>
      <c r="G691" s="331"/>
      <c r="H691" s="316"/>
      <c r="I691" s="331"/>
      <c r="J691" s="316"/>
      <c r="K691" s="331"/>
      <c r="L691" s="316"/>
      <c r="M691" s="7"/>
      <c r="N691" s="206"/>
    </row>
    <row r="692" spans="1:14" s="6" customFormat="1" ht="15" customHeight="1" x14ac:dyDescent="0.25">
      <c r="A692" s="33"/>
      <c r="B692" s="429"/>
      <c r="C692" s="383"/>
      <c r="D692" s="384"/>
      <c r="E692" s="331"/>
      <c r="F692" s="316"/>
      <c r="G692" s="331"/>
      <c r="H692" s="316"/>
      <c r="I692" s="331"/>
      <c r="J692" s="316"/>
      <c r="K692" s="331"/>
      <c r="L692" s="316"/>
      <c r="M692" s="7"/>
      <c r="N692" s="206"/>
    </row>
    <row r="693" spans="1:14" s="6" customFormat="1" ht="15" customHeight="1" x14ac:dyDescent="0.25">
      <c r="A693" s="33"/>
      <c r="B693" s="429"/>
      <c r="C693" s="317"/>
      <c r="D693" s="316"/>
      <c r="E693" s="331"/>
      <c r="F693" s="316"/>
      <c r="G693" s="331"/>
      <c r="H693" s="316"/>
      <c r="I693" s="331"/>
      <c r="J693" s="316"/>
      <c r="K693" s="331"/>
      <c r="L693" s="316"/>
      <c r="M693" s="7"/>
      <c r="N693" s="206"/>
    </row>
    <row r="694" spans="1:14" s="6" customFormat="1" ht="15" customHeight="1" x14ac:dyDescent="0.25">
      <c r="A694" s="33"/>
      <c r="B694" s="429"/>
      <c r="C694" s="317"/>
      <c r="D694" s="316"/>
      <c r="E694" s="331"/>
      <c r="F694" s="316"/>
      <c r="G694" s="331"/>
      <c r="H694" s="316"/>
      <c r="I694" s="331"/>
      <c r="J694" s="316"/>
      <c r="K694" s="331"/>
      <c r="L694" s="316"/>
      <c r="M694" s="7"/>
      <c r="N694" s="206"/>
    </row>
    <row r="695" spans="1:14" s="6" customFormat="1" ht="15" customHeight="1" x14ac:dyDescent="0.25">
      <c r="A695" s="33"/>
      <c r="B695" s="429"/>
      <c r="C695" s="318"/>
      <c r="D695" s="319"/>
      <c r="E695" s="380"/>
      <c r="F695" s="319"/>
      <c r="G695" s="381"/>
      <c r="H695" s="382"/>
      <c r="I695" s="380"/>
      <c r="J695" s="319"/>
      <c r="K695" s="380"/>
      <c r="L695" s="319"/>
      <c r="M695" s="7"/>
      <c r="N695" s="206"/>
    </row>
    <row r="696" spans="1:14" s="6" customFormat="1" ht="15" customHeight="1" x14ac:dyDescent="0.25">
      <c r="A696" s="33"/>
      <c r="B696" s="429"/>
      <c r="C696" s="210">
        <f>K689+3</f>
        <v>42394</v>
      </c>
      <c r="D696" s="211"/>
      <c r="E696" s="213">
        <f>C696+1</f>
        <v>42395</v>
      </c>
      <c r="F696" s="211"/>
      <c r="G696" s="213">
        <f>E696+1</f>
        <v>42396</v>
      </c>
      <c r="H696" s="211"/>
      <c r="I696" s="213">
        <f>G696+1</f>
        <v>42397</v>
      </c>
      <c r="J696" s="211"/>
      <c r="K696" s="213">
        <f>I696+1</f>
        <v>42398</v>
      </c>
      <c r="L696" s="211"/>
      <c r="M696" s="7"/>
      <c r="N696" s="206"/>
    </row>
    <row r="697" spans="1:14" s="6" customFormat="1" ht="15" customHeight="1" x14ac:dyDescent="0.25">
      <c r="A697" s="33"/>
      <c r="B697" s="429"/>
      <c r="C697" s="440"/>
      <c r="D697" s="456"/>
      <c r="E697" s="331"/>
      <c r="F697" s="316"/>
      <c r="G697" s="331"/>
      <c r="H697" s="316"/>
      <c r="I697" s="331"/>
      <c r="J697" s="316"/>
      <c r="K697" s="331"/>
      <c r="L697" s="316"/>
      <c r="M697" s="7"/>
      <c r="N697" s="206"/>
    </row>
    <row r="698" spans="1:14" s="6" customFormat="1" ht="15" customHeight="1" x14ac:dyDescent="0.25">
      <c r="A698" s="33"/>
      <c r="B698" s="429"/>
      <c r="C698" s="317"/>
      <c r="D698" s="316"/>
      <c r="E698" s="331"/>
      <c r="F698" s="316"/>
      <c r="G698" s="331"/>
      <c r="H698" s="316"/>
      <c r="I698" s="331"/>
      <c r="J698" s="316"/>
      <c r="K698" s="331"/>
      <c r="L698" s="316"/>
      <c r="M698" s="7"/>
      <c r="N698" s="206"/>
    </row>
    <row r="699" spans="1:14" s="6" customFormat="1" ht="15" customHeight="1" x14ac:dyDescent="0.25">
      <c r="A699" s="33"/>
      <c r="B699" s="429"/>
      <c r="C699" s="383" t="s">
        <v>168</v>
      </c>
      <c r="D699" s="384"/>
      <c r="E699" s="331"/>
      <c r="F699" s="316"/>
      <c r="G699" s="331"/>
      <c r="H699" s="316"/>
      <c r="I699" s="331"/>
      <c r="J699" s="316"/>
      <c r="K699" s="331"/>
      <c r="L699" s="316"/>
      <c r="M699" s="7"/>
      <c r="N699" s="206"/>
    </row>
    <row r="700" spans="1:14" s="6" customFormat="1" ht="15" customHeight="1" x14ac:dyDescent="0.25">
      <c r="A700" s="33"/>
      <c r="B700" s="429"/>
      <c r="C700" s="317"/>
      <c r="D700" s="316"/>
      <c r="E700" s="331"/>
      <c r="F700" s="316"/>
      <c r="G700" s="459"/>
      <c r="H700" s="316"/>
      <c r="I700" s="331"/>
      <c r="J700" s="316"/>
      <c r="K700" s="331"/>
      <c r="L700" s="316"/>
      <c r="M700" s="7"/>
      <c r="N700" s="206"/>
    </row>
    <row r="701" spans="1:14" s="6" customFormat="1" ht="15" customHeight="1" x14ac:dyDescent="0.25">
      <c r="A701" s="33"/>
      <c r="B701" s="429"/>
      <c r="C701" s="317"/>
      <c r="D701" s="316"/>
      <c r="E701" s="331"/>
      <c r="F701" s="316"/>
      <c r="G701" s="331"/>
      <c r="H701" s="316"/>
      <c r="I701" s="331"/>
      <c r="J701" s="316"/>
      <c r="K701" s="331"/>
      <c r="L701" s="316"/>
      <c r="M701" s="7"/>
      <c r="N701" s="206"/>
    </row>
    <row r="702" spans="1:14" s="6" customFormat="1" ht="15" customHeight="1" x14ac:dyDescent="0.25">
      <c r="A702" s="33"/>
      <c r="B702" s="430"/>
      <c r="C702" s="331"/>
      <c r="D702" s="316"/>
      <c r="E702" s="331"/>
      <c r="F702" s="316"/>
      <c r="G702" s="381"/>
      <c r="H702" s="382"/>
      <c r="I702" s="331"/>
      <c r="J702" s="316"/>
      <c r="K702" s="331"/>
      <c r="L702" s="316"/>
      <c r="M702" s="7"/>
      <c r="N702" s="206"/>
    </row>
    <row r="703" spans="1:14" s="6" customFormat="1" ht="15" customHeight="1" x14ac:dyDescent="0.25">
      <c r="A703" s="33"/>
      <c r="B703" s="435"/>
      <c r="C703" s="210">
        <f>K696+3</f>
        <v>42401</v>
      </c>
      <c r="D703" s="211"/>
      <c r="E703" s="213">
        <f>C703+1</f>
        <v>42402</v>
      </c>
      <c r="F703" s="211"/>
      <c r="G703" s="213">
        <f>E703+1</f>
        <v>42403</v>
      </c>
      <c r="H703" s="211"/>
      <c r="I703" s="213">
        <f>G703+1</f>
        <v>42404</v>
      </c>
      <c r="J703" s="211"/>
      <c r="K703" s="213">
        <f>I703+1</f>
        <v>42405</v>
      </c>
      <c r="L703" s="211"/>
      <c r="M703" s="7"/>
      <c r="N703" s="206"/>
    </row>
    <row r="704" spans="1:14" s="6" customFormat="1" ht="15" customHeight="1" x14ac:dyDescent="0.25">
      <c r="A704" s="33"/>
      <c r="B704" s="434"/>
      <c r="C704" s="317"/>
      <c r="D704" s="316"/>
      <c r="E704" s="451"/>
      <c r="F704" s="433"/>
      <c r="G704" s="331"/>
      <c r="H704" s="316"/>
      <c r="I704" s="331"/>
      <c r="J704" s="316"/>
      <c r="K704" s="331"/>
      <c r="L704" s="316"/>
      <c r="M704" s="7"/>
      <c r="N704" s="206"/>
    </row>
    <row r="705" spans="1:14" s="6" customFormat="1" ht="15" customHeight="1" x14ac:dyDescent="0.25">
      <c r="A705" s="33"/>
      <c r="B705" s="434"/>
      <c r="C705" s="317"/>
      <c r="D705" s="316"/>
      <c r="E705" s="331"/>
      <c r="F705" s="316"/>
      <c r="G705" s="331"/>
      <c r="H705" s="316"/>
      <c r="I705" s="331"/>
      <c r="J705" s="316"/>
      <c r="K705" s="331"/>
      <c r="L705" s="316"/>
      <c r="M705" s="7"/>
      <c r="N705" s="206"/>
    </row>
    <row r="706" spans="1:14" s="6" customFormat="1" ht="15" customHeight="1" x14ac:dyDescent="0.25">
      <c r="A706" s="33"/>
      <c r="B706" s="434"/>
      <c r="C706" s="383"/>
      <c r="D706" s="384"/>
      <c r="E706" s="451"/>
      <c r="F706" s="433"/>
      <c r="G706" s="331"/>
      <c r="H706" s="316"/>
      <c r="I706" s="331"/>
      <c r="J706" s="316"/>
      <c r="K706" s="331"/>
      <c r="L706" s="316"/>
      <c r="M706" s="7"/>
      <c r="N706" s="206"/>
    </row>
    <row r="707" spans="1:14" s="6" customFormat="1" ht="15" customHeight="1" x14ac:dyDescent="0.25">
      <c r="A707" s="33"/>
      <c r="B707" s="434"/>
      <c r="C707" s="317"/>
      <c r="D707" s="316"/>
      <c r="E707" s="331"/>
      <c r="F707" s="316"/>
      <c r="G707" s="331"/>
      <c r="H707" s="316"/>
      <c r="I707" s="331"/>
      <c r="J707" s="316"/>
      <c r="K707" s="331"/>
      <c r="L707" s="316"/>
      <c r="M707" s="7"/>
      <c r="N707" s="206"/>
    </row>
    <row r="708" spans="1:14" s="6" customFormat="1" ht="15" customHeight="1" x14ac:dyDescent="0.25">
      <c r="A708" s="33"/>
      <c r="B708" s="434"/>
      <c r="C708" s="317"/>
      <c r="D708" s="316"/>
      <c r="E708" s="451"/>
      <c r="F708" s="433"/>
      <c r="G708" s="331"/>
      <c r="H708" s="316"/>
      <c r="I708" s="331"/>
      <c r="J708" s="316"/>
      <c r="K708" s="331"/>
      <c r="L708" s="316"/>
      <c r="M708" s="7"/>
      <c r="N708" s="206"/>
    </row>
    <row r="709" spans="1:14" s="6" customFormat="1" ht="15" customHeight="1" x14ac:dyDescent="0.25">
      <c r="A709" s="33"/>
      <c r="B709" s="434"/>
      <c r="C709" s="318"/>
      <c r="D709" s="319"/>
      <c r="E709" s="475"/>
      <c r="F709" s="382"/>
      <c r="G709" s="381"/>
      <c r="H709" s="382"/>
      <c r="I709" s="381"/>
      <c r="J709" s="382"/>
      <c r="K709" s="381"/>
      <c r="L709" s="382"/>
      <c r="M709" s="7"/>
      <c r="N709" s="206"/>
    </row>
    <row r="710" spans="1:14" s="6" customFormat="1" ht="15" customHeight="1" x14ac:dyDescent="0.25">
      <c r="A710" s="33"/>
      <c r="B710" s="42"/>
      <c r="C710" s="210">
        <f>K703+3</f>
        <v>42408</v>
      </c>
      <c r="D710" s="211"/>
      <c r="E710" s="213">
        <f>C710+1</f>
        <v>42409</v>
      </c>
      <c r="F710" s="211"/>
      <c r="G710" s="213">
        <f>E710+1</f>
        <v>42410</v>
      </c>
      <c r="H710" s="211"/>
      <c r="I710" s="213">
        <f>G710+1</f>
        <v>42411</v>
      </c>
      <c r="J710" s="211"/>
      <c r="K710" s="213">
        <f>I710+1</f>
        <v>42412</v>
      </c>
      <c r="L710" s="211"/>
      <c r="M710" s="7"/>
      <c r="N710" s="206"/>
    </row>
    <row r="711" spans="1:14" s="6" customFormat="1" ht="15" customHeight="1" x14ac:dyDescent="0.25">
      <c r="A711" s="33"/>
      <c r="B711" s="42"/>
      <c r="C711" s="317"/>
      <c r="D711" s="316"/>
      <c r="E711" s="331"/>
      <c r="F711" s="316"/>
      <c r="G711" s="459"/>
      <c r="H711" s="316"/>
      <c r="I711" s="331"/>
      <c r="J711" s="316"/>
      <c r="K711" s="331"/>
      <c r="L711" s="316"/>
      <c r="M711" s="7"/>
      <c r="N711" s="206"/>
    </row>
    <row r="712" spans="1:14" s="6" customFormat="1" ht="15" customHeight="1" x14ac:dyDescent="0.25">
      <c r="A712" s="33"/>
      <c r="B712" s="42"/>
      <c r="C712" s="383"/>
      <c r="D712" s="384"/>
      <c r="E712" s="331"/>
      <c r="F712" s="316"/>
      <c r="G712" s="331"/>
      <c r="H712" s="316"/>
      <c r="I712" s="331"/>
      <c r="J712" s="316"/>
      <c r="K712" s="331"/>
      <c r="L712" s="316"/>
      <c r="M712" s="7"/>
      <c r="N712" s="206"/>
    </row>
    <row r="713" spans="1:14" s="6" customFormat="1" ht="15" customHeight="1" x14ac:dyDescent="0.25">
      <c r="A713" s="33"/>
      <c r="B713" s="42"/>
      <c r="C713" s="440"/>
      <c r="D713" s="456"/>
      <c r="E713" s="331"/>
      <c r="F713" s="316"/>
      <c r="G713" s="331"/>
      <c r="H713" s="316"/>
      <c r="I713" s="331"/>
      <c r="J713" s="316"/>
      <c r="K713" s="331"/>
      <c r="L713" s="316"/>
      <c r="M713" s="7"/>
      <c r="N713" s="206"/>
    </row>
    <row r="714" spans="1:14" s="6" customFormat="1" ht="15" customHeight="1" x14ac:dyDescent="0.25">
      <c r="A714" s="33"/>
      <c r="B714" s="42"/>
      <c r="C714" s="317"/>
      <c r="D714" s="316"/>
      <c r="E714" s="331"/>
      <c r="F714" s="316"/>
      <c r="G714" s="331"/>
      <c r="H714" s="316"/>
      <c r="I714" s="331"/>
      <c r="J714" s="316"/>
      <c r="K714" s="331"/>
      <c r="L714" s="316"/>
      <c r="M714" s="7"/>
      <c r="N714" s="206"/>
    </row>
    <row r="715" spans="1:14" s="6" customFormat="1" ht="15" customHeight="1" x14ac:dyDescent="0.25">
      <c r="A715" s="33"/>
      <c r="B715" s="42"/>
      <c r="C715" s="317"/>
      <c r="D715" s="316"/>
      <c r="E715" s="331"/>
      <c r="F715" s="316"/>
      <c r="G715" s="331"/>
      <c r="H715" s="316"/>
      <c r="I715" s="331"/>
      <c r="J715" s="316"/>
      <c r="K715" s="331"/>
      <c r="L715" s="316"/>
      <c r="M715" s="7"/>
      <c r="N715" s="206"/>
    </row>
    <row r="716" spans="1:14" s="6" customFormat="1" ht="15" customHeight="1" x14ac:dyDescent="0.25">
      <c r="A716" s="33"/>
      <c r="B716" s="42"/>
      <c r="C716" s="318"/>
      <c r="D716" s="319"/>
      <c r="E716" s="380"/>
      <c r="F716" s="319"/>
      <c r="G716" s="381"/>
      <c r="H716" s="382"/>
      <c r="I716" s="380"/>
      <c r="J716" s="319"/>
      <c r="K716" s="380"/>
      <c r="L716" s="319"/>
      <c r="M716" s="7"/>
      <c r="N716" s="206"/>
    </row>
    <row r="717" spans="1:14" s="6" customFormat="1" ht="15" customHeight="1" x14ac:dyDescent="0.25">
      <c r="A717" s="33"/>
      <c r="B717" s="42"/>
      <c r="C717" s="210">
        <f>K710+3</f>
        <v>42415</v>
      </c>
      <c r="D717" s="211"/>
      <c r="E717" s="213">
        <f>C717+1</f>
        <v>42416</v>
      </c>
      <c r="F717" s="211"/>
      <c r="G717" s="213">
        <f>E717+1</f>
        <v>42417</v>
      </c>
      <c r="H717" s="211"/>
      <c r="I717" s="213">
        <f>G717+1</f>
        <v>42418</v>
      </c>
      <c r="J717" s="211"/>
      <c r="K717" s="213">
        <f>I717+1</f>
        <v>42419</v>
      </c>
      <c r="L717" s="211"/>
      <c r="M717" s="7"/>
      <c r="N717" s="206"/>
    </row>
    <row r="718" spans="1:14" s="6" customFormat="1" ht="15" customHeight="1" x14ac:dyDescent="0.25">
      <c r="A718" s="33"/>
      <c r="B718" s="42"/>
      <c r="C718" s="317"/>
      <c r="D718" s="316"/>
      <c r="E718" s="331"/>
      <c r="F718" s="316"/>
      <c r="G718" s="331"/>
      <c r="H718" s="316"/>
      <c r="I718" s="331"/>
      <c r="J718" s="316"/>
      <c r="K718" s="331"/>
      <c r="L718" s="316"/>
      <c r="M718" s="7"/>
      <c r="N718" s="206"/>
    </row>
    <row r="719" spans="1:14" s="6" customFormat="1" ht="15" customHeight="1" x14ac:dyDescent="0.25">
      <c r="A719" s="33"/>
      <c r="B719" s="42"/>
      <c r="C719" s="383"/>
      <c r="D719" s="384"/>
      <c r="E719" s="331"/>
      <c r="F719" s="316"/>
      <c r="G719" s="331"/>
      <c r="H719" s="316"/>
      <c r="I719" s="455"/>
      <c r="J719" s="316"/>
      <c r="K719" s="455"/>
      <c r="L719" s="316"/>
      <c r="M719" s="7"/>
      <c r="N719" s="206"/>
    </row>
    <row r="720" spans="1:14" s="6" customFormat="1" ht="15" customHeight="1" x14ac:dyDescent="0.25">
      <c r="A720" s="33"/>
      <c r="B720" s="42"/>
      <c r="C720" s="383"/>
      <c r="D720" s="384"/>
      <c r="E720" s="331"/>
      <c r="F720" s="316"/>
      <c r="G720" s="331"/>
      <c r="H720" s="316"/>
      <c r="I720" s="331"/>
      <c r="J720" s="316"/>
      <c r="K720" s="331"/>
      <c r="L720" s="316"/>
      <c r="M720" s="7"/>
      <c r="N720" s="206"/>
    </row>
    <row r="721" spans="1:14" s="6" customFormat="1" ht="15" customHeight="1" x14ac:dyDescent="0.25">
      <c r="A721" s="33"/>
      <c r="B721" s="42"/>
      <c r="C721" s="317"/>
      <c r="D721" s="316"/>
      <c r="E721" s="331"/>
      <c r="F721" s="316"/>
      <c r="G721" s="331"/>
      <c r="H721" s="316"/>
      <c r="I721" s="331"/>
      <c r="J721" s="316"/>
      <c r="K721" s="331"/>
      <c r="L721" s="316"/>
      <c r="M721" s="7"/>
      <c r="N721" s="206"/>
    </row>
    <row r="722" spans="1:14" s="6" customFormat="1" ht="15" customHeight="1" x14ac:dyDescent="0.25">
      <c r="A722" s="33"/>
      <c r="B722" s="42"/>
      <c r="C722" s="317"/>
      <c r="D722" s="316"/>
      <c r="E722" s="331"/>
      <c r="F722" s="316"/>
      <c r="G722" s="331"/>
      <c r="H722" s="316"/>
      <c r="I722" s="331"/>
      <c r="J722" s="316"/>
      <c r="K722" s="331"/>
      <c r="L722" s="316"/>
      <c r="M722" s="7"/>
      <c r="N722" s="206"/>
    </row>
    <row r="723" spans="1:14" s="6" customFormat="1" ht="15" customHeight="1" x14ac:dyDescent="0.25">
      <c r="A723" s="33"/>
      <c r="B723" s="42"/>
      <c r="C723" s="318"/>
      <c r="D723" s="319"/>
      <c r="E723" s="380"/>
      <c r="F723" s="319"/>
      <c r="G723" s="381"/>
      <c r="H723" s="382"/>
      <c r="I723" s="380"/>
      <c r="J723" s="319"/>
      <c r="K723" s="380"/>
      <c r="L723" s="319"/>
      <c r="M723" s="7"/>
      <c r="N723" s="206"/>
    </row>
    <row r="724" spans="1:14" s="6" customFormat="1" ht="15" customHeight="1" x14ac:dyDescent="0.25">
      <c r="A724" s="33"/>
      <c r="B724" s="434" t="s">
        <v>37</v>
      </c>
      <c r="C724" s="210">
        <f>K717+3</f>
        <v>42422</v>
      </c>
      <c r="D724" s="211"/>
      <c r="E724" s="213">
        <f>C724+1</f>
        <v>42423</v>
      </c>
      <c r="F724" s="211"/>
      <c r="G724" s="213">
        <f>E724+1</f>
        <v>42424</v>
      </c>
      <c r="H724" s="211"/>
      <c r="I724" s="213">
        <f>G724+1</f>
        <v>42425</v>
      </c>
      <c r="J724" s="211"/>
      <c r="K724" s="213">
        <f>I724+1</f>
        <v>42426</v>
      </c>
      <c r="L724" s="211"/>
      <c r="M724" s="7"/>
      <c r="N724" s="206"/>
    </row>
    <row r="725" spans="1:14" s="6" customFormat="1" ht="15" customHeight="1" x14ac:dyDescent="0.25">
      <c r="A725" s="33"/>
      <c r="B725" s="434"/>
      <c r="C725" s="476"/>
      <c r="D725" s="456"/>
      <c r="E725" s="331"/>
      <c r="F725" s="316"/>
      <c r="G725" s="331"/>
      <c r="H725" s="316"/>
      <c r="I725" s="331"/>
      <c r="J725" s="316"/>
      <c r="K725" s="331"/>
      <c r="L725" s="316"/>
      <c r="M725" s="7"/>
      <c r="N725" s="206"/>
    </row>
    <row r="726" spans="1:14" s="6" customFormat="1" ht="15" customHeight="1" x14ac:dyDescent="0.25">
      <c r="A726" s="33"/>
      <c r="B726" s="434"/>
      <c r="C726" s="331"/>
      <c r="D726" s="316"/>
      <c r="E726" s="331"/>
      <c r="F726" s="316"/>
      <c r="G726" s="331"/>
      <c r="H726" s="316"/>
      <c r="I726" s="389"/>
      <c r="J726" s="390"/>
      <c r="K726" s="389"/>
      <c r="L726" s="390"/>
      <c r="M726" s="7"/>
      <c r="N726" s="206"/>
    </row>
    <row r="727" spans="1:14" s="6" customFormat="1" ht="15" customHeight="1" x14ac:dyDescent="0.25">
      <c r="A727" s="33"/>
      <c r="B727" s="434"/>
      <c r="C727" s="331"/>
      <c r="D727" s="316"/>
      <c r="E727" s="331"/>
      <c r="F727" s="316"/>
      <c r="G727" s="331"/>
      <c r="H727" s="316"/>
      <c r="I727" s="331"/>
      <c r="J727" s="316"/>
      <c r="K727" s="331"/>
      <c r="L727" s="316"/>
      <c r="M727" s="7"/>
      <c r="N727" s="206"/>
    </row>
    <row r="728" spans="1:14" s="6" customFormat="1" ht="15" customHeight="1" x14ac:dyDescent="0.25">
      <c r="A728" s="33"/>
      <c r="B728" s="434"/>
      <c r="C728" s="331"/>
      <c r="D728" s="316"/>
      <c r="E728" s="331"/>
      <c r="F728" s="316"/>
      <c r="G728" s="331"/>
      <c r="H728" s="316"/>
      <c r="I728" s="331"/>
      <c r="J728" s="316"/>
      <c r="K728" s="331"/>
      <c r="L728" s="316"/>
      <c r="M728" s="7"/>
      <c r="N728" s="206"/>
    </row>
    <row r="729" spans="1:14" s="6" customFormat="1" ht="15" customHeight="1" x14ac:dyDescent="0.25">
      <c r="A729" s="33"/>
      <c r="B729" s="434"/>
      <c r="C729" s="331"/>
      <c r="D729" s="316"/>
      <c r="E729" s="331"/>
      <c r="F729" s="316"/>
      <c r="G729" s="331"/>
      <c r="H729" s="316"/>
      <c r="I729" s="331"/>
      <c r="J729" s="316"/>
      <c r="K729" s="331"/>
      <c r="L729" s="316"/>
      <c r="M729" s="7"/>
      <c r="N729" s="206"/>
    </row>
    <row r="730" spans="1:14" s="6" customFormat="1" ht="15" customHeight="1" x14ac:dyDescent="0.25">
      <c r="A730" s="33"/>
      <c r="B730" s="434"/>
      <c r="C730" s="380"/>
      <c r="D730" s="319"/>
      <c r="E730" s="380"/>
      <c r="F730" s="319"/>
      <c r="G730" s="381"/>
      <c r="H730" s="382"/>
      <c r="I730" s="462"/>
      <c r="J730" s="319"/>
      <c r="K730" s="462"/>
      <c r="L730" s="319"/>
      <c r="M730" s="7"/>
      <c r="N730" s="206"/>
    </row>
    <row r="731" spans="1:14" s="6" customFormat="1" ht="15" customHeight="1" x14ac:dyDescent="0.25">
      <c r="A731" s="33"/>
      <c r="B731" s="434"/>
      <c r="C731" s="210">
        <f>K724+3</f>
        <v>42429</v>
      </c>
      <c r="D731" s="211"/>
      <c r="E731" s="213">
        <f>C731+1</f>
        <v>42430</v>
      </c>
      <c r="F731" s="211"/>
      <c r="G731" s="213">
        <f>E731+1</f>
        <v>42431</v>
      </c>
      <c r="H731" s="211"/>
      <c r="I731" s="213">
        <f>G731+1</f>
        <v>42432</v>
      </c>
      <c r="J731" s="211"/>
      <c r="K731" s="213">
        <f>I731+1</f>
        <v>42433</v>
      </c>
      <c r="L731" s="211"/>
      <c r="M731" s="7"/>
      <c r="N731" s="206"/>
    </row>
    <row r="732" spans="1:14" s="6" customFormat="1" ht="15" customHeight="1" x14ac:dyDescent="0.25">
      <c r="A732" s="33"/>
      <c r="B732" s="434"/>
      <c r="C732" s="389"/>
      <c r="D732" s="390"/>
      <c r="E732" s="331"/>
      <c r="F732" s="316"/>
      <c r="G732" s="331"/>
      <c r="H732" s="316"/>
      <c r="I732" s="331"/>
      <c r="J732" s="316"/>
      <c r="K732" s="331"/>
      <c r="L732" s="316"/>
      <c r="M732" s="7"/>
      <c r="N732" s="206"/>
    </row>
    <row r="733" spans="1:14" s="6" customFormat="1" ht="15" customHeight="1" x14ac:dyDescent="0.25">
      <c r="A733" s="33"/>
      <c r="B733" s="434"/>
      <c r="C733" s="389"/>
      <c r="D733" s="390"/>
      <c r="E733" s="331"/>
      <c r="F733" s="316"/>
      <c r="G733" s="331"/>
      <c r="H733" s="316"/>
      <c r="I733" s="331"/>
      <c r="J733" s="316"/>
      <c r="K733" s="331"/>
      <c r="L733" s="316"/>
      <c r="M733" s="7"/>
      <c r="N733" s="206"/>
    </row>
    <row r="734" spans="1:14" s="6" customFormat="1" ht="15" customHeight="1" x14ac:dyDescent="0.25">
      <c r="A734" s="33"/>
      <c r="B734" s="434"/>
      <c r="C734" s="386" t="s">
        <v>168</v>
      </c>
      <c r="D734" s="384"/>
      <c r="E734" s="331"/>
      <c r="F734" s="316"/>
      <c r="G734" s="331"/>
      <c r="H734" s="316"/>
      <c r="I734" s="331"/>
      <c r="J734" s="316"/>
      <c r="K734" s="331"/>
      <c r="L734" s="316"/>
      <c r="M734" s="7"/>
      <c r="N734" s="206"/>
    </row>
    <row r="735" spans="1:14" s="6" customFormat="1" ht="15" customHeight="1" x14ac:dyDescent="0.25">
      <c r="A735" s="33"/>
      <c r="B735" s="434"/>
      <c r="C735" s="331"/>
      <c r="D735" s="316"/>
      <c r="E735" s="331"/>
      <c r="F735" s="316"/>
      <c r="G735" s="331"/>
      <c r="H735" s="316"/>
      <c r="I735" s="331"/>
      <c r="J735" s="316"/>
      <c r="K735" s="331"/>
      <c r="L735" s="316"/>
      <c r="M735" s="7"/>
      <c r="N735" s="206"/>
    </row>
    <row r="736" spans="1:14" s="6" customFormat="1" ht="15" customHeight="1" x14ac:dyDescent="0.25">
      <c r="A736" s="33"/>
      <c r="B736" s="434"/>
      <c r="C736" s="331"/>
      <c r="D736" s="316"/>
      <c r="E736" s="331"/>
      <c r="F736" s="316"/>
      <c r="G736" s="331"/>
      <c r="H736" s="316"/>
      <c r="I736" s="459"/>
      <c r="J736" s="316"/>
      <c r="K736" s="459"/>
      <c r="L736" s="316"/>
      <c r="M736" s="7"/>
      <c r="N736" s="206"/>
    </row>
    <row r="737" spans="1:14" s="6" customFormat="1" ht="15" customHeight="1" x14ac:dyDescent="0.25">
      <c r="A737" s="33"/>
      <c r="B737" s="437"/>
      <c r="C737" s="380"/>
      <c r="D737" s="319"/>
      <c r="E737" s="380"/>
      <c r="F737" s="319"/>
      <c r="G737" s="381"/>
      <c r="H737" s="382"/>
      <c r="I737" s="462"/>
      <c r="J737" s="319"/>
      <c r="K737" s="462"/>
      <c r="L737" s="319"/>
      <c r="M737" s="7"/>
      <c r="N737" s="206"/>
    </row>
    <row r="738" spans="1:14" s="6" customFormat="1" ht="15" customHeight="1" x14ac:dyDescent="0.25">
      <c r="A738" s="33"/>
      <c r="B738" s="441"/>
      <c r="C738" s="210">
        <f>K731+3</f>
        <v>42436</v>
      </c>
      <c r="D738" s="211"/>
      <c r="E738" s="213">
        <f>C738+1</f>
        <v>42437</v>
      </c>
      <c r="F738" s="211"/>
      <c r="G738" s="213">
        <f>E738+1</f>
        <v>42438</v>
      </c>
      <c r="H738" s="211"/>
      <c r="I738" s="213">
        <f>G738+1</f>
        <v>42439</v>
      </c>
      <c r="J738" s="211"/>
      <c r="K738" s="213">
        <f>I738+1</f>
        <v>42440</v>
      </c>
      <c r="L738" s="211"/>
      <c r="M738" s="7"/>
      <c r="N738" s="206"/>
    </row>
    <row r="739" spans="1:14" s="6" customFormat="1" ht="15" customHeight="1" x14ac:dyDescent="0.25">
      <c r="A739" s="33"/>
      <c r="B739" s="429"/>
      <c r="C739" s="317"/>
      <c r="D739" s="316"/>
      <c r="E739" s="331"/>
      <c r="F739" s="316"/>
      <c r="G739" s="331"/>
      <c r="H739" s="316"/>
      <c r="I739" s="331"/>
      <c r="J739" s="316"/>
      <c r="K739" s="331"/>
      <c r="L739" s="316"/>
      <c r="M739" s="7"/>
      <c r="N739" s="206"/>
    </row>
    <row r="740" spans="1:14" s="6" customFormat="1" ht="15" customHeight="1" x14ac:dyDescent="0.25">
      <c r="A740" s="33"/>
      <c r="B740" s="429"/>
      <c r="C740" s="317"/>
      <c r="D740" s="316"/>
      <c r="E740" s="331"/>
      <c r="F740" s="316"/>
      <c r="G740" s="331"/>
      <c r="H740" s="316"/>
      <c r="I740" s="477"/>
      <c r="J740" s="478"/>
      <c r="K740" s="477"/>
      <c r="L740" s="478"/>
      <c r="M740" s="7"/>
      <c r="N740" s="206"/>
    </row>
    <row r="741" spans="1:14" s="6" customFormat="1" ht="15" customHeight="1" x14ac:dyDescent="0.25">
      <c r="A741" s="33"/>
      <c r="B741" s="429"/>
      <c r="C741" s="383"/>
      <c r="D741" s="384"/>
      <c r="E741" s="331"/>
      <c r="F741" s="316"/>
      <c r="G741" s="331"/>
      <c r="H741" s="316"/>
      <c r="I741" s="331"/>
      <c r="J741" s="316"/>
      <c r="K741" s="331"/>
      <c r="L741" s="316"/>
      <c r="M741" s="7"/>
      <c r="N741" s="206"/>
    </row>
    <row r="742" spans="1:14" s="6" customFormat="1" ht="15" customHeight="1" x14ac:dyDescent="0.25">
      <c r="A742" s="33"/>
      <c r="B742" s="429"/>
      <c r="C742" s="317"/>
      <c r="D742" s="316"/>
      <c r="E742" s="331"/>
      <c r="F742" s="316"/>
      <c r="G742" s="331"/>
      <c r="H742" s="316"/>
      <c r="I742" s="331"/>
      <c r="J742" s="316"/>
      <c r="K742" s="331"/>
      <c r="L742" s="316"/>
      <c r="M742" s="7"/>
      <c r="N742" s="206"/>
    </row>
    <row r="743" spans="1:14" s="6" customFormat="1" ht="15" customHeight="1" x14ac:dyDescent="0.25">
      <c r="A743" s="33"/>
      <c r="B743" s="429"/>
      <c r="C743" s="317"/>
      <c r="D743" s="316"/>
      <c r="E743" s="331"/>
      <c r="F743" s="316"/>
      <c r="G743" s="331"/>
      <c r="H743" s="316"/>
      <c r="I743" s="331"/>
      <c r="J743" s="316"/>
      <c r="K743" s="331"/>
      <c r="L743" s="316"/>
      <c r="M743" s="7"/>
      <c r="N743" s="206"/>
    </row>
    <row r="744" spans="1:14" s="6" customFormat="1" ht="15" customHeight="1" x14ac:dyDescent="0.25">
      <c r="A744" s="33"/>
      <c r="B744" s="429"/>
      <c r="C744" s="318"/>
      <c r="D744" s="319"/>
      <c r="E744" s="380"/>
      <c r="F744" s="319"/>
      <c r="G744" s="381"/>
      <c r="H744" s="382"/>
      <c r="I744" s="380"/>
      <c r="J744" s="319"/>
      <c r="K744" s="380"/>
      <c r="L744" s="319"/>
      <c r="M744" s="7"/>
      <c r="N744" s="206"/>
    </row>
    <row r="745" spans="1:14" s="6" customFormat="1" ht="15" customHeight="1" x14ac:dyDescent="0.25">
      <c r="A745" s="33"/>
      <c r="B745" s="40"/>
      <c r="C745" s="210">
        <f>K738+3</f>
        <v>42443</v>
      </c>
      <c r="D745" s="211"/>
      <c r="E745" s="213">
        <f>C745+1</f>
        <v>42444</v>
      </c>
      <c r="F745" s="211"/>
      <c r="G745" s="213">
        <f>E745+1</f>
        <v>42445</v>
      </c>
      <c r="H745" s="211"/>
      <c r="I745" s="213">
        <f>G745+1</f>
        <v>42446</v>
      </c>
      <c r="J745" s="211"/>
      <c r="K745" s="213">
        <f>I745+1</f>
        <v>42447</v>
      </c>
      <c r="L745" s="211"/>
      <c r="M745" s="7"/>
      <c r="N745" s="206"/>
    </row>
    <row r="746" spans="1:14" s="6" customFormat="1" ht="15" customHeight="1" x14ac:dyDescent="0.25">
      <c r="A746" s="33"/>
      <c r="B746" s="40"/>
      <c r="C746" s="440"/>
      <c r="D746" s="456"/>
      <c r="E746" s="331"/>
      <c r="F746" s="316"/>
      <c r="G746" s="331"/>
      <c r="H746" s="316"/>
      <c r="I746" s="331"/>
      <c r="J746" s="316"/>
      <c r="K746" s="331"/>
      <c r="L746" s="316"/>
      <c r="M746" s="7"/>
      <c r="N746" s="206"/>
    </row>
    <row r="747" spans="1:14" s="6" customFormat="1" ht="15" customHeight="1" x14ac:dyDescent="0.25">
      <c r="A747" s="33"/>
      <c r="B747" s="40"/>
      <c r="C747" s="317"/>
      <c r="D747" s="316"/>
      <c r="E747" s="331"/>
      <c r="F747" s="316"/>
      <c r="G747" s="331"/>
      <c r="H747" s="316"/>
      <c r="I747" s="331"/>
      <c r="J747" s="316"/>
      <c r="K747" s="331"/>
      <c r="L747" s="316"/>
      <c r="M747" s="7"/>
      <c r="N747" s="206"/>
    </row>
    <row r="748" spans="1:14" s="6" customFormat="1" ht="15" customHeight="1" x14ac:dyDescent="0.25">
      <c r="A748" s="33"/>
      <c r="B748" s="40"/>
      <c r="C748" s="383" t="s">
        <v>168</v>
      </c>
      <c r="D748" s="384"/>
      <c r="E748" s="331"/>
      <c r="F748" s="316"/>
      <c r="G748" s="331"/>
      <c r="H748" s="316"/>
      <c r="I748" s="331"/>
      <c r="J748" s="316"/>
      <c r="K748" s="331"/>
      <c r="L748" s="316"/>
      <c r="M748" s="7"/>
      <c r="N748" s="206"/>
    </row>
    <row r="749" spans="1:14" s="6" customFormat="1" ht="15" customHeight="1" x14ac:dyDescent="0.25">
      <c r="A749" s="33"/>
      <c r="B749" s="40"/>
      <c r="C749" s="317"/>
      <c r="D749" s="316"/>
      <c r="E749" s="331"/>
      <c r="F749" s="316"/>
      <c r="G749" s="331"/>
      <c r="H749" s="316"/>
      <c r="I749" s="331"/>
      <c r="J749" s="316"/>
      <c r="K749" s="331"/>
      <c r="L749" s="316"/>
      <c r="M749" s="7"/>
      <c r="N749" s="206"/>
    </row>
    <row r="750" spans="1:14" s="6" customFormat="1" ht="15" customHeight="1" x14ac:dyDescent="0.25">
      <c r="A750" s="33"/>
      <c r="B750" s="40"/>
      <c r="C750" s="317"/>
      <c r="D750" s="316"/>
      <c r="E750" s="331"/>
      <c r="F750" s="316"/>
      <c r="G750" s="331"/>
      <c r="H750" s="316"/>
      <c r="I750" s="331"/>
      <c r="J750" s="316"/>
      <c r="K750" s="331"/>
      <c r="L750" s="316"/>
      <c r="M750" s="7"/>
      <c r="N750" s="206"/>
    </row>
    <row r="751" spans="1:14" s="6" customFormat="1" ht="15" customHeight="1" x14ac:dyDescent="0.25">
      <c r="A751" s="33"/>
      <c r="B751" s="40"/>
      <c r="C751" s="318"/>
      <c r="D751" s="319"/>
      <c r="E751" s="380"/>
      <c r="F751" s="319"/>
      <c r="G751" s="381"/>
      <c r="H751" s="382"/>
      <c r="I751" s="380"/>
      <c r="J751" s="319"/>
      <c r="K751" s="380"/>
      <c r="L751" s="319"/>
      <c r="M751" s="7"/>
      <c r="N751" s="206"/>
    </row>
    <row r="752" spans="1:14" s="6" customFormat="1" ht="15" customHeight="1" x14ac:dyDescent="0.25">
      <c r="A752" s="33"/>
      <c r="B752" s="479" t="s">
        <v>36</v>
      </c>
      <c r="C752" s="210">
        <f>K745+3</f>
        <v>42450</v>
      </c>
      <c r="D752" s="211"/>
      <c r="E752" s="213">
        <f>C752+1</f>
        <v>42451</v>
      </c>
      <c r="F752" s="211"/>
      <c r="G752" s="213">
        <f>E752+1</f>
        <v>42452</v>
      </c>
      <c r="H752" s="211"/>
      <c r="I752" s="213">
        <f>G752+1</f>
        <v>42453</v>
      </c>
      <c r="J752" s="211"/>
      <c r="K752" s="213">
        <f>I752+1</f>
        <v>42454</v>
      </c>
      <c r="L752" s="211"/>
      <c r="M752" s="7"/>
      <c r="N752" s="206"/>
    </row>
    <row r="753" spans="1:14" s="6" customFormat="1" ht="15" customHeight="1" x14ac:dyDescent="0.25">
      <c r="A753" s="33"/>
      <c r="B753" s="479"/>
      <c r="C753" s="476"/>
      <c r="D753" s="456"/>
      <c r="E753" s="331"/>
      <c r="F753" s="316"/>
      <c r="G753" s="331"/>
      <c r="H753" s="316"/>
      <c r="I753" s="331"/>
      <c r="J753" s="316"/>
      <c r="K753" s="331"/>
      <c r="L753" s="316"/>
      <c r="M753" s="7"/>
      <c r="N753" s="206"/>
    </row>
    <row r="754" spans="1:14" s="6" customFormat="1" ht="15" customHeight="1" x14ac:dyDescent="0.25">
      <c r="A754" s="33"/>
      <c r="B754" s="479"/>
      <c r="C754" s="331"/>
      <c r="D754" s="316"/>
      <c r="E754" s="331"/>
      <c r="F754" s="316"/>
      <c r="G754" s="331"/>
      <c r="H754" s="316"/>
      <c r="I754" s="331"/>
      <c r="J754" s="316"/>
      <c r="K754" s="331"/>
      <c r="L754" s="316"/>
      <c r="M754" s="7"/>
      <c r="N754" s="206"/>
    </row>
    <row r="755" spans="1:14" s="6" customFormat="1" ht="15" customHeight="1" x14ac:dyDescent="0.25">
      <c r="A755" s="33"/>
      <c r="B755" s="479"/>
      <c r="C755" s="386"/>
      <c r="D755" s="384"/>
      <c r="E755" s="331"/>
      <c r="F755" s="316"/>
      <c r="G755" s="331"/>
      <c r="H755" s="316"/>
      <c r="I755" s="331"/>
      <c r="J755" s="316"/>
      <c r="K755" s="331"/>
      <c r="L755" s="316"/>
      <c r="M755" s="7"/>
      <c r="N755" s="206"/>
    </row>
    <row r="756" spans="1:14" s="6" customFormat="1" ht="15" customHeight="1" x14ac:dyDescent="0.25">
      <c r="A756" s="33"/>
      <c r="B756" s="479"/>
      <c r="C756" s="331"/>
      <c r="D756" s="316"/>
      <c r="E756" s="331"/>
      <c r="F756" s="316"/>
      <c r="G756" s="331"/>
      <c r="H756" s="316"/>
      <c r="I756" s="331"/>
      <c r="J756" s="316"/>
      <c r="K756" s="331"/>
      <c r="L756" s="316"/>
      <c r="M756" s="7"/>
      <c r="N756" s="206"/>
    </row>
    <row r="757" spans="1:14" s="6" customFormat="1" ht="15" customHeight="1" x14ac:dyDescent="0.25">
      <c r="A757" s="33"/>
      <c r="B757" s="479"/>
      <c r="C757" s="331"/>
      <c r="D757" s="316"/>
      <c r="E757" s="331"/>
      <c r="F757" s="316"/>
      <c r="G757" s="331"/>
      <c r="H757" s="316"/>
      <c r="I757" s="331"/>
      <c r="J757" s="316"/>
      <c r="K757" s="331"/>
      <c r="L757" s="316"/>
      <c r="M757" s="7"/>
      <c r="N757" s="206"/>
    </row>
    <row r="758" spans="1:14" s="6" customFormat="1" ht="15" customHeight="1" x14ac:dyDescent="0.25">
      <c r="A758" s="33"/>
      <c r="B758" s="479"/>
      <c r="C758" s="380"/>
      <c r="D758" s="319"/>
      <c r="E758" s="380"/>
      <c r="F758" s="319"/>
      <c r="G758" s="381"/>
      <c r="H758" s="382"/>
      <c r="I758" s="380"/>
      <c r="J758" s="319"/>
      <c r="K758" s="380"/>
      <c r="L758" s="319"/>
      <c r="M758" s="7"/>
      <c r="N758" s="206"/>
    </row>
    <row r="759" spans="1:14" s="6" customFormat="1" ht="15" customHeight="1" x14ac:dyDescent="0.25">
      <c r="A759" s="33"/>
      <c r="B759" s="479"/>
      <c r="C759" s="210">
        <f>K752+3</f>
        <v>42457</v>
      </c>
      <c r="D759" s="211"/>
      <c r="E759" s="213">
        <f>C759+1</f>
        <v>42458</v>
      </c>
      <c r="F759" s="211"/>
      <c r="G759" s="213">
        <f>E759+1</f>
        <v>42459</v>
      </c>
      <c r="H759" s="211"/>
      <c r="I759" s="213">
        <f>G759+1</f>
        <v>42460</v>
      </c>
      <c r="J759" s="211"/>
      <c r="K759" s="213">
        <f>I759+1</f>
        <v>42461</v>
      </c>
      <c r="L759" s="211"/>
      <c r="M759" s="7"/>
      <c r="N759" s="206"/>
    </row>
    <row r="760" spans="1:14" s="6" customFormat="1" ht="15" customHeight="1" x14ac:dyDescent="0.25">
      <c r="A760" s="33"/>
      <c r="B760" s="479"/>
      <c r="C760" s="476"/>
      <c r="D760" s="456"/>
      <c r="E760" s="331"/>
      <c r="F760" s="316"/>
      <c r="G760" s="331"/>
      <c r="H760" s="316"/>
      <c r="I760" s="331"/>
      <c r="J760" s="316"/>
      <c r="K760" s="331"/>
      <c r="L760" s="316"/>
      <c r="M760" s="7"/>
      <c r="N760" s="206"/>
    </row>
    <row r="761" spans="1:14" s="6" customFormat="1" ht="15" customHeight="1" x14ac:dyDescent="0.25">
      <c r="A761" s="33"/>
      <c r="B761" s="479"/>
      <c r="C761" s="331"/>
      <c r="D761" s="316"/>
      <c r="E761" s="331"/>
      <c r="F761" s="316"/>
      <c r="G761" s="535"/>
      <c r="H761" s="481"/>
      <c r="I761" s="331"/>
      <c r="J761" s="316"/>
      <c r="K761" s="331"/>
      <c r="L761" s="316"/>
      <c r="M761" s="7"/>
      <c r="N761" s="206"/>
    </row>
    <row r="762" spans="1:14" s="6" customFormat="1" ht="15" customHeight="1" x14ac:dyDescent="0.25">
      <c r="A762" s="33"/>
      <c r="B762" s="479"/>
      <c r="C762" s="386" t="s">
        <v>168</v>
      </c>
      <c r="D762" s="384"/>
      <c r="E762" s="331"/>
      <c r="F762" s="316"/>
      <c r="G762" s="331"/>
      <c r="H762" s="316"/>
      <c r="I762" s="331"/>
      <c r="J762" s="316"/>
      <c r="K762" s="331"/>
      <c r="L762" s="316"/>
      <c r="M762" s="7"/>
      <c r="N762" s="206"/>
    </row>
    <row r="763" spans="1:14" s="6" customFormat="1" ht="15" customHeight="1" x14ac:dyDescent="0.25">
      <c r="A763" s="33"/>
      <c r="B763" s="479"/>
      <c r="C763" s="331"/>
      <c r="D763" s="316"/>
      <c r="E763" s="331"/>
      <c r="F763" s="316"/>
      <c r="G763" s="331"/>
      <c r="H763" s="316"/>
      <c r="I763" s="331"/>
      <c r="J763" s="316"/>
      <c r="K763" s="331"/>
      <c r="L763" s="316"/>
      <c r="M763" s="7"/>
      <c r="N763" s="206"/>
    </row>
    <row r="764" spans="1:14" s="6" customFormat="1" ht="15" customHeight="1" x14ac:dyDescent="0.25">
      <c r="A764" s="33"/>
      <c r="B764" s="479"/>
      <c r="C764" s="331"/>
      <c r="D764" s="316"/>
      <c r="E764" s="331"/>
      <c r="F764" s="316"/>
      <c r="G764" s="331"/>
      <c r="H764" s="316"/>
      <c r="I764" s="331"/>
      <c r="J764" s="316"/>
      <c r="K764" s="331"/>
      <c r="L764" s="316"/>
      <c r="M764" s="7"/>
      <c r="N764" s="206"/>
    </row>
    <row r="765" spans="1:14" s="6" customFormat="1" ht="15" customHeight="1" x14ac:dyDescent="0.25">
      <c r="A765" s="33"/>
      <c r="B765" s="480"/>
      <c r="C765" s="380"/>
      <c r="D765" s="319"/>
      <c r="E765" s="380"/>
      <c r="F765" s="319"/>
      <c r="G765" s="381"/>
      <c r="H765" s="382"/>
      <c r="I765" s="380"/>
      <c r="J765" s="319"/>
      <c r="K765" s="380"/>
      <c r="L765" s="319"/>
      <c r="M765" s="7"/>
      <c r="N765" s="206"/>
    </row>
    <row r="766" spans="1:14" s="6" customFormat="1" ht="15" customHeight="1" x14ac:dyDescent="0.25">
      <c r="A766" s="33"/>
      <c r="B766" s="435"/>
      <c r="C766" s="210">
        <f>K759+3</f>
        <v>42464</v>
      </c>
      <c r="D766" s="211"/>
      <c r="E766" s="213">
        <f>C766+1</f>
        <v>42465</v>
      </c>
      <c r="F766" s="211"/>
      <c r="G766" s="213">
        <f>E766+1</f>
        <v>42466</v>
      </c>
      <c r="H766" s="211"/>
      <c r="I766" s="213">
        <f>G766+1</f>
        <v>42467</v>
      </c>
      <c r="J766" s="211"/>
      <c r="K766" s="213">
        <f>I766+1</f>
        <v>42468</v>
      </c>
      <c r="L766" s="211"/>
      <c r="M766" s="7"/>
      <c r="N766" s="206"/>
    </row>
    <row r="767" spans="1:14" s="6" customFormat="1" ht="15" customHeight="1" x14ac:dyDescent="0.25">
      <c r="A767" s="33"/>
      <c r="B767" s="434"/>
      <c r="C767" s="317"/>
      <c r="D767" s="316"/>
      <c r="E767" s="331"/>
      <c r="F767" s="316"/>
      <c r="G767" s="331"/>
      <c r="H767" s="316"/>
      <c r="I767" s="331"/>
      <c r="J767" s="316"/>
      <c r="K767" s="331"/>
      <c r="L767" s="316"/>
      <c r="M767" s="7"/>
      <c r="N767" s="206"/>
    </row>
    <row r="768" spans="1:14" s="6" customFormat="1" ht="15" customHeight="1" x14ac:dyDescent="0.25">
      <c r="A768" s="33"/>
      <c r="B768" s="434"/>
      <c r="C768" s="317"/>
      <c r="D768" s="316"/>
      <c r="E768" s="331"/>
      <c r="F768" s="316"/>
      <c r="G768" s="331"/>
      <c r="H768" s="316"/>
      <c r="I768" s="331"/>
      <c r="J768" s="316"/>
      <c r="K768" s="331"/>
      <c r="L768" s="316"/>
      <c r="M768" s="7"/>
      <c r="N768" s="206"/>
    </row>
    <row r="769" spans="1:16" s="6" customFormat="1" ht="15" customHeight="1" x14ac:dyDescent="0.25">
      <c r="A769" s="33"/>
      <c r="B769" s="434"/>
      <c r="C769" s="317"/>
      <c r="D769" s="316"/>
      <c r="E769" s="331"/>
      <c r="F769" s="316"/>
      <c r="G769" s="331"/>
      <c r="H769" s="316"/>
      <c r="I769" s="331"/>
      <c r="J769" s="316"/>
      <c r="K769" s="331"/>
      <c r="L769" s="316"/>
      <c r="M769" s="7"/>
      <c r="N769" s="206"/>
    </row>
    <row r="770" spans="1:16" s="6" customFormat="1" ht="15" customHeight="1" x14ac:dyDescent="0.25">
      <c r="A770" s="33"/>
      <c r="B770" s="434"/>
      <c r="C770" s="317"/>
      <c r="D770" s="316"/>
      <c r="E770" s="331"/>
      <c r="F770" s="316"/>
      <c r="G770" s="331"/>
      <c r="H770" s="316"/>
      <c r="I770" s="331"/>
      <c r="J770" s="316"/>
      <c r="K770" s="331"/>
      <c r="L770" s="316"/>
      <c r="M770" s="7"/>
      <c r="N770" s="206"/>
    </row>
    <row r="771" spans="1:16" s="6" customFormat="1" ht="15" customHeight="1" x14ac:dyDescent="0.25">
      <c r="A771" s="33"/>
      <c r="B771" s="434"/>
      <c r="C771" s="317"/>
      <c r="D771" s="316"/>
      <c r="E771" s="331"/>
      <c r="F771" s="316"/>
      <c r="G771" s="331"/>
      <c r="H771" s="316"/>
      <c r="I771" s="331"/>
      <c r="J771" s="316"/>
      <c r="K771" s="331"/>
      <c r="L771" s="316"/>
      <c r="M771" s="7"/>
      <c r="N771" s="206"/>
    </row>
    <row r="772" spans="1:16" s="6" customFormat="1" ht="15" customHeight="1" x14ac:dyDescent="0.25">
      <c r="A772" s="33"/>
      <c r="B772" s="434"/>
      <c r="C772" s="318"/>
      <c r="D772" s="319"/>
      <c r="E772" s="380"/>
      <c r="F772" s="319"/>
      <c r="G772" s="381"/>
      <c r="H772" s="382"/>
      <c r="I772" s="380"/>
      <c r="J772" s="319"/>
      <c r="K772" s="380"/>
      <c r="L772" s="319"/>
      <c r="M772" s="7"/>
      <c r="N772" s="206"/>
    </row>
    <row r="773" spans="1:16" s="6" customFormat="1" ht="15" customHeight="1" x14ac:dyDescent="0.25">
      <c r="A773" s="33"/>
      <c r="B773" s="42"/>
      <c r="C773" s="210">
        <f>K766+3</f>
        <v>42471</v>
      </c>
      <c r="D773" s="211"/>
      <c r="E773" s="213">
        <f>C773+1</f>
        <v>42472</v>
      </c>
      <c r="F773" s="211"/>
      <c r="G773" s="213">
        <f>E773+1</f>
        <v>42473</v>
      </c>
      <c r="H773" s="211"/>
      <c r="I773" s="213">
        <f>G773+1</f>
        <v>42474</v>
      </c>
      <c r="J773" s="211"/>
      <c r="K773" s="213">
        <f>I773+1</f>
        <v>42475</v>
      </c>
      <c r="L773" s="211"/>
      <c r="M773" s="7"/>
      <c r="N773" s="217"/>
    </row>
    <row r="774" spans="1:16" s="6" customFormat="1" ht="15" customHeight="1" x14ac:dyDescent="0.25">
      <c r="A774" s="33"/>
      <c r="B774" s="42"/>
      <c r="C774" s="440"/>
      <c r="D774" s="456"/>
      <c r="E774" s="331"/>
      <c r="F774" s="316"/>
      <c r="G774" s="331"/>
      <c r="H774" s="316"/>
      <c r="I774" s="331"/>
      <c r="J774" s="316"/>
      <c r="K774" s="331"/>
      <c r="L774" s="316"/>
      <c r="M774" s="7"/>
      <c r="N774" s="217"/>
    </row>
    <row r="775" spans="1:16" s="6" customFormat="1" ht="15" customHeight="1" x14ac:dyDescent="0.25">
      <c r="A775" s="33"/>
      <c r="B775" s="42"/>
      <c r="C775" s="317"/>
      <c r="D775" s="316"/>
      <c r="E775" s="331"/>
      <c r="F775" s="316"/>
      <c r="G775" s="331"/>
      <c r="H775" s="316"/>
      <c r="I775" s="331"/>
      <c r="J775" s="316"/>
      <c r="K775" s="331"/>
      <c r="L775" s="316"/>
      <c r="M775" s="7"/>
      <c r="N775" s="217"/>
    </row>
    <row r="776" spans="1:16" s="6" customFormat="1" ht="15" customHeight="1" x14ac:dyDescent="0.25">
      <c r="A776" s="33"/>
      <c r="B776" s="42"/>
      <c r="C776" s="383"/>
      <c r="D776" s="384"/>
      <c r="E776" s="331"/>
      <c r="F776" s="316"/>
      <c r="G776" s="331"/>
      <c r="H776" s="316"/>
      <c r="I776" s="331"/>
      <c r="J776" s="316"/>
      <c r="K776" s="331"/>
      <c r="L776" s="316"/>
      <c r="M776" s="7"/>
      <c r="N776" s="217"/>
      <c r="O776" s="218"/>
      <c r="P776" s="218"/>
    </row>
    <row r="777" spans="1:16" s="6" customFormat="1" ht="15" customHeight="1" x14ac:dyDescent="0.25">
      <c r="A777" s="33"/>
      <c r="B777" s="42"/>
      <c r="C777" s="317"/>
      <c r="D777" s="316"/>
      <c r="E777" s="331"/>
      <c r="F777" s="316"/>
      <c r="G777" s="331"/>
      <c r="H777" s="316"/>
      <c r="I777" s="331"/>
      <c r="J777" s="316"/>
      <c r="K777" s="331"/>
      <c r="L777" s="316"/>
      <c r="M777" s="7"/>
      <c r="N777" s="217"/>
    </row>
    <row r="778" spans="1:16" s="6" customFormat="1" ht="15" customHeight="1" x14ac:dyDescent="0.25">
      <c r="A778" s="33"/>
      <c r="B778" s="42"/>
      <c r="C778" s="317"/>
      <c r="D778" s="316"/>
      <c r="E778" s="331"/>
      <c r="F778" s="316"/>
      <c r="G778" s="331"/>
      <c r="H778" s="316"/>
      <c r="I778" s="331"/>
      <c r="J778" s="316"/>
      <c r="K778" s="331"/>
      <c r="L778" s="316"/>
      <c r="M778" s="7"/>
      <c r="N778" s="217"/>
    </row>
    <row r="779" spans="1:16" s="6" customFormat="1" ht="15" customHeight="1" x14ac:dyDescent="0.25">
      <c r="A779" s="33"/>
      <c r="B779" s="42"/>
      <c r="C779" s="318"/>
      <c r="D779" s="319"/>
      <c r="E779" s="380" t="s">
        <v>35</v>
      </c>
      <c r="F779" s="319"/>
      <c r="G779" s="381"/>
      <c r="H779" s="382"/>
      <c r="I779" s="380"/>
      <c r="J779" s="319"/>
      <c r="K779" s="380"/>
      <c r="L779" s="319"/>
      <c r="M779" s="7"/>
      <c r="N779" s="217"/>
    </row>
    <row r="780" spans="1:16" s="6" customFormat="1" ht="15" customHeight="1" x14ac:dyDescent="0.25">
      <c r="A780" s="33"/>
      <c r="B780" s="482" t="s">
        <v>34</v>
      </c>
      <c r="C780" s="210">
        <f>K773+3</f>
        <v>42478</v>
      </c>
      <c r="D780" s="211"/>
      <c r="E780" s="213">
        <f>C780+1</f>
        <v>42479</v>
      </c>
      <c r="F780" s="211"/>
      <c r="G780" s="213">
        <f>E780+1</f>
        <v>42480</v>
      </c>
      <c r="H780" s="211"/>
      <c r="I780" s="213">
        <f>G780+1</f>
        <v>42481</v>
      </c>
      <c r="J780" s="211"/>
      <c r="K780" s="213">
        <f>I780+1</f>
        <v>42482</v>
      </c>
      <c r="L780" s="211"/>
      <c r="M780" s="7"/>
      <c r="N780" s="217"/>
    </row>
    <row r="781" spans="1:16" s="6" customFormat="1" ht="15" customHeight="1" x14ac:dyDescent="0.25">
      <c r="A781" s="33"/>
      <c r="B781" s="482"/>
      <c r="C781" s="476"/>
      <c r="D781" s="456"/>
      <c r="E781" s="331"/>
      <c r="F781" s="316"/>
      <c r="G781" s="331"/>
      <c r="H781" s="316"/>
      <c r="I781" s="331"/>
      <c r="J781" s="316"/>
      <c r="K781" s="331"/>
      <c r="L781" s="316"/>
      <c r="M781" s="7"/>
      <c r="N781" s="217"/>
    </row>
    <row r="782" spans="1:16" s="6" customFormat="1" ht="15" customHeight="1" x14ac:dyDescent="0.25">
      <c r="A782" s="33"/>
      <c r="B782" s="482"/>
      <c r="C782" s="331"/>
      <c r="D782" s="316"/>
      <c r="E782" s="331"/>
      <c r="F782" s="316"/>
      <c r="G782" s="331"/>
      <c r="H782" s="316"/>
      <c r="I782" s="331"/>
      <c r="J782" s="316"/>
      <c r="K782" s="331"/>
      <c r="L782" s="316"/>
      <c r="M782" s="7"/>
      <c r="N782" s="217"/>
      <c r="O782" s="218"/>
      <c r="P782" s="218"/>
    </row>
    <row r="783" spans="1:16" s="6" customFormat="1" ht="15" customHeight="1" x14ac:dyDescent="0.25">
      <c r="A783" s="33"/>
      <c r="B783" s="482"/>
      <c r="C783" s="386" t="s">
        <v>168</v>
      </c>
      <c r="D783" s="384"/>
      <c r="E783" s="331"/>
      <c r="F783" s="316"/>
      <c r="G783" s="331"/>
      <c r="H783" s="316"/>
      <c r="I783" s="331"/>
      <c r="J783" s="316"/>
      <c r="K783" s="331"/>
      <c r="L783" s="316"/>
      <c r="M783" s="7"/>
      <c r="N783" s="217"/>
    </row>
    <row r="784" spans="1:16" s="6" customFormat="1" ht="15" customHeight="1" x14ac:dyDescent="0.25">
      <c r="A784" s="33"/>
      <c r="B784" s="482"/>
      <c r="C784" s="331"/>
      <c r="D784" s="316"/>
      <c r="E784" s="331"/>
      <c r="F784" s="316"/>
      <c r="G784" s="331"/>
      <c r="H784" s="316"/>
      <c r="I784" s="331"/>
      <c r="J784" s="316"/>
      <c r="K784" s="331"/>
      <c r="L784" s="316"/>
      <c r="M784" s="7"/>
      <c r="N784" s="217"/>
    </row>
    <row r="785" spans="1:14" s="6" customFormat="1" ht="15" customHeight="1" x14ac:dyDescent="0.25">
      <c r="A785" s="33"/>
      <c r="B785" s="482"/>
      <c r="C785" s="331"/>
      <c r="D785" s="316"/>
      <c r="E785" s="331"/>
      <c r="F785" s="316"/>
      <c r="G785" s="331"/>
      <c r="H785" s="316"/>
      <c r="I785" s="331"/>
      <c r="J785" s="316"/>
      <c r="K785" s="331"/>
      <c r="L785" s="316"/>
      <c r="M785" s="7"/>
      <c r="N785" s="217"/>
    </row>
    <row r="786" spans="1:14" s="6" customFormat="1" ht="15" customHeight="1" x14ac:dyDescent="0.25">
      <c r="A786" s="33"/>
      <c r="B786" s="482"/>
      <c r="C786" s="380"/>
      <c r="D786" s="319"/>
      <c r="E786" s="380"/>
      <c r="F786" s="319"/>
      <c r="G786" s="381"/>
      <c r="H786" s="382"/>
      <c r="I786" s="380"/>
      <c r="J786" s="319"/>
      <c r="K786" s="380"/>
      <c r="L786" s="319"/>
      <c r="M786" s="7"/>
      <c r="N786" s="217"/>
    </row>
    <row r="787" spans="1:14" s="6" customFormat="1" ht="15" customHeight="1" x14ac:dyDescent="0.25">
      <c r="A787" s="33"/>
      <c r="B787" s="482"/>
      <c r="C787" s="210">
        <f>K780+3</f>
        <v>42485</v>
      </c>
      <c r="D787" s="211"/>
      <c r="E787" s="213">
        <f>C787+1</f>
        <v>42486</v>
      </c>
      <c r="F787" s="211"/>
      <c r="G787" s="213">
        <f>E787+1</f>
        <v>42487</v>
      </c>
      <c r="H787" s="211"/>
      <c r="I787" s="213">
        <f>G787+1</f>
        <v>42488</v>
      </c>
      <c r="J787" s="211"/>
      <c r="K787" s="213">
        <f>I787+1</f>
        <v>42489</v>
      </c>
      <c r="L787" s="211"/>
      <c r="M787" s="7"/>
      <c r="N787" s="217"/>
    </row>
    <row r="788" spans="1:14" s="6" customFormat="1" ht="15" customHeight="1" x14ac:dyDescent="0.25">
      <c r="A788" s="33"/>
      <c r="B788" s="482"/>
      <c r="C788" s="476"/>
      <c r="D788" s="456"/>
      <c r="E788" s="331"/>
      <c r="F788" s="316"/>
      <c r="G788" s="331"/>
      <c r="H788" s="316"/>
      <c r="I788" s="331"/>
      <c r="J788" s="316"/>
      <c r="K788" s="331"/>
      <c r="L788" s="316"/>
      <c r="M788" s="7"/>
      <c r="N788" s="217"/>
    </row>
    <row r="789" spans="1:14" s="6" customFormat="1" ht="15" customHeight="1" x14ac:dyDescent="0.25">
      <c r="A789" s="33"/>
      <c r="B789" s="482"/>
      <c r="C789" s="331"/>
      <c r="D789" s="316"/>
      <c r="E789" s="331"/>
      <c r="F789" s="316"/>
      <c r="G789" s="331"/>
      <c r="H789" s="316"/>
      <c r="I789" s="331"/>
      <c r="J789" s="316"/>
      <c r="K789" s="331"/>
      <c r="L789" s="316"/>
      <c r="M789" s="7"/>
      <c r="N789" s="217"/>
    </row>
    <row r="790" spans="1:14" s="6" customFormat="1" ht="15" customHeight="1" x14ac:dyDescent="0.25">
      <c r="A790" s="33"/>
      <c r="B790" s="482"/>
      <c r="C790" s="386" t="s">
        <v>168</v>
      </c>
      <c r="D790" s="384"/>
      <c r="E790" s="331"/>
      <c r="F790" s="316"/>
      <c r="G790" s="484"/>
      <c r="H790" s="485"/>
      <c r="I790" s="331"/>
      <c r="J790" s="316"/>
      <c r="K790" s="331"/>
      <c r="L790" s="316"/>
      <c r="M790" s="7"/>
      <c r="N790" s="217"/>
    </row>
    <row r="791" spans="1:14" s="6" customFormat="1" ht="15" customHeight="1" x14ac:dyDescent="0.25">
      <c r="A791" s="33"/>
      <c r="B791" s="482"/>
      <c r="C791" s="331"/>
      <c r="D791" s="316"/>
      <c r="E791" s="331"/>
      <c r="F791" s="316"/>
      <c r="G791" s="331"/>
      <c r="H791" s="316"/>
      <c r="I791" s="331"/>
      <c r="J791" s="316"/>
      <c r="K791" s="331"/>
      <c r="L791" s="316"/>
      <c r="M791" s="7"/>
      <c r="N791" s="217"/>
    </row>
    <row r="792" spans="1:14" s="6" customFormat="1" ht="15" customHeight="1" x14ac:dyDescent="0.25">
      <c r="A792" s="33"/>
      <c r="B792" s="482"/>
      <c r="C792" s="331"/>
      <c r="D792" s="316"/>
      <c r="E792" s="331"/>
      <c r="F792" s="316"/>
      <c r="G792" s="331"/>
      <c r="H792" s="316"/>
      <c r="I792" s="331"/>
      <c r="J792" s="316"/>
      <c r="K792" s="331"/>
      <c r="L792" s="316"/>
      <c r="M792" s="7"/>
      <c r="N792" s="217"/>
    </row>
    <row r="793" spans="1:14" s="6" customFormat="1" ht="15" customHeight="1" x14ac:dyDescent="0.25">
      <c r="A793" s="33"/>
      <c r="B793" s="483"/>
      <c r="C793" s="380"/>
      <c r="D793" s="319"/>
      <c r="E793" s="380"/>
      <c r="F793" s="319"/>
      <c r="G793" s="381"/>
      <c r="H793" s="382"/>
      <c r="I793" s="380"/>
      <c r="J793" s="319"/>
      <c r="K793" s="380"/>
      <c r="L793" s="319"/>
      <c r="M793" s="7"/>
      <c r="N793" s="217"/>
    </row>
    <row r="794" spans="1:14" s="6" customFormat="1" ht="15" customHeight="1" x14ac:dyDescent="0.25">
      <c r="A794" s="33"/>
      <c r="B794" s="441"/>
      <c r="C794" s="210">
        <f>K787+3</f>
        <v>42492</v>
      </c>
      <c r="D794" s="211"/>
      <c r="E794" s="213">
        <f>C794+1</f>
        <v>42493</v>
      </c>
      <c r="F794" s="211"/>
      <c r="G794" s="213">
        <f>E794+1</f>
        <v>42494</v>
      </c>
      <c r="H794" s="211"/>
      <c r="I794" s="213">
        <f>G794+1</f>
        <v>42495</v>
      </c>
      <c r="J794" s="211"/>
      <c r="K794" s="213">
        <f>I794+1</f>
        <v>42496</v>
      </c>
      <c r="L794" s="211"/>
      <c r="M794" s="7"/>
      <c r="N794" s="217"/>
    </row>
    <row r="795" spans="1:14" s="6" customFormat="1" ht="15" customHeight="1" x14ac:dyDescent="0.25">
      <c r="A795" s="33"/>
      <c r="B795" s="429"/>
      <c r="C795" s="317"/>
      <c r="D795" s="316"/>
      <c r="E795" s="331"/>
      <c r="F795" s="316"/>
      <c r="G795" s="331"/>
      <c r="H795" s="316"/>
      <c r="I795" s="331"/>
      <c r="J795" s="316"/>
      <c r="K795" s="331"/>
      <c r="L795" s="316"/>
      <c r="M795" s="7"/>
      <c r="N795" s="217"/>
    </row>
    <row r="796" spans="1:14" s="6" customFormat="1" ht="15" customHeight="1" x14ac:dyDescent="0.25">
      <c r="A796" s="33"/>
      <c r="B796" s="429"/>
      <c r="C796" s="317"/>
      <c r="D796" s="316"/>
      <c r="E796" s="331"/>
      <c r="F796" s="316"/>
      <c r="G796" s="331"/>
      <c r="H796" s="316"/>
      <c r="I796" s="331"/>
      <c r="J796" s="316"/>
      <c r="K796" s="331"/>
      <c r="L796" s="316"/>
      <c r="M796" s="7"/>
      <c r="N796" s="217"/>
    </row>
    <row r="797" spans="1:14" s="6" customFormat="1" ht="15" customHeight="1" x14ac:dyDescent="0.25">
      <c r="A797" s="33"/>
      <c r="B797" s="429"/>
      <c r="C797" s="383" t="s">
        <v>168</v>
      </c>
      <c r="D797" s="486"/>
      <c r="E797" s="331"/>
      <c r="F797" s="316"/>
      <c r="G797" s="331"/>
      <c r="H797" s="316"/>
      <c r="I797" s="331"/>
      <c r="J797" s="379"/>
      <c r="K797" s="378"/>
      <c r="L797" s="379"/>
      <c r="M797" s="7"/>
      <c r="N797" s="217"/>
    </row>
    <row r="798" spans="1:14" s="6" customFormat="1" ht="15" customHeight="1" x14ac:dyDescent="0.25">
      <c r="A798" s="33"/>
      <c r="B798" s="429"/>
      <c r="C798" s="317"/>
      <c r="D798" s="316"/>
      <c r="E798" s="331"/>
      <c r="F798" s="316"/>
      <c r="G798" s="331"/>
      <c r="H798" s="316"/>
      <c r="I798" s="331"/>
      <c r="J798" s="316"/>
      <c r="K798" s="331"/>
      <c r="L798" s="316"/>
      <c r="M798" s="7"/>
      <c r="N798" s="217"/>
    </row>
    <row r="799" spans="1:14" s="6" customFormat="1" ht="15" customHeight="1" x14ac:dyDescent="0.25">
      <c r="A799" s="33"/>
      <c r="B799" s="429"/>
      <c r="C799" s="317"/>
      <c r="D799" s="316"/>
      <c r="E799" s="331"/>
      <c r="F799" s="316"/>
      <c r="G799" s="331"/>
      <c r="H799" s="316"/>
      <c r="I799" s="331"/>
      <c r="J799" s="316"/>
      <c r="K799" s="331"/>
      <c r="L799" s="316"/>
      <c r="M799" s="7"/>
      <c r="N799" s="217"/>
    </row>
    <row r="800" spans="1:14" s="6" customFormat="1" ht="15" customHeight="1" x14ac:dyDescent="0.25">
      <c r="A800" s="33"/>
      <c r="B800" s="429"/>
      <c r="C800" s="318"/>
      <c r="D800" s="319"/>
      <c r="E800" s="380"/>
      <c r="F800" s="319"/>
      <c r="G800" s="381"/>
      <c r="H800" s="382"/>
      <c r="I800" s="380"/>
      <c r="J800" s="319"/>
      <c r="K800" s="380"/>
      <c r="L800" s="319"/>
      <c r="M800" s="7"/>
      <c r="N800" s="217"/>
    </row>
    <row r="801" spans="1:14" s="6" customFormat="1" ht="15" customHeight="1" x14ac:dyDescent="0.25">
      <c r="A801" s="33"/>
      <c r="B801" s="40"/>
      <c r="C801" s="210">
        <f>K794+3</f>
        <v>42499</v>
      </c>
      <c r="D801" s="211"/>
      <c r="E801" s="213">
        <f>C801+1</f>
        <v>42500</v>
      </c>
      <c r="F801" s="211"/>
      <c r="G801" s="213">
        <f>E801+1</f>
        <v>42501</v>
      </c>
      <c r="H801" s="211"/>
      <c r="I801" s="213">
        <f>G801+1</f>
        <v>42502</v>
      </c>
      <c r="J801" s="211"/>
      <c r="K801" s="213">
        <f>I801+1</f>
        <v>42503</v>
      </c>
      <c r="L801" s="211"/>
      <c r="M801" s="7"/>
      <c r="N801" s="217"/>
    </row>
    <row r="802" spans="1:14" s="6" customFormat="1" ht="15" customHeight="1" x14ac:dyDescent="0.25">
      <c r="A802" s="33"/>
      <c r="B802" s="40"/>
      <c r="C802" s="440"/>
      <c r="D802" s="456"/>
      <c r="E802" s="331"/>
      <c r="F802" s="316"/>
      <c r="G802" s="331"/>
      <c r="H802" s="316"/>
      <c r="I802" s="331"/>
      <c r="J802" s="316"/>
      <c r="K802" s="331"/>
      <c r="L802" s="316"/>
      <c r="M802" s="7"/>
      <c r="N802" s="217"/>
    </row>
    <row r="803" spans="1:14" s="6" customFormat="1" ht="15" customHeight="1" x14ac:dyDescent="0.25">
      <c r="A803" s="33"/>
      <c r="B803" s="40"/>
      <c r="C803" s="317"/>
      <c r="D803" s="316"/>
      <c r="E803" s="331"/>
      <c r="F803" s="316"/>
      <c r="G803" s="331"/>
      <c r="H803" s="316"/>
      <c r="I803" s="331"/>
      <c r="J803" s="316"/>
      <c r="K803" s="331"/>
      <c r="L803" s="316"/>
      <c r="M803" s="7"/>
      <c r="N803" s="217"/>
    </row>
    <row r="804" spans="1:14" s="6" customFormat="1" ht="15" customHeight="1" x14ac:dyDescent="0.25">
      <c r="A804" s="33"/>
      <c r="B804" s="40"/>
      <c r="C804" s="383" t="s">
        <v>168</v>
      </c>
      <c r="D804" s="384"/>
      <c r="E804" s="331"/>
      <c r="F804" s="316"/>
      <c r="G804" s="331"/>
      <c r="H804" s="379"/>
      <c r="I804" s="331"/>
      <c r="J804" s="316"/>
      <c r="K804" s="331"/>
      <c r="L804" s="316"/>
      <c r="M804" s="7"/>
      <c r="N804" s="217"/>
    </row>
    <row r="805" spans="1:14" s="6" customFormat="1" ht="15" customHeight="1" x14ac:dyDescent="0.25">
      <c r="A805" s="33"/>
      <c r="B805" s="40"/>
      <c r="C805" s="317"/>
      <c r="D805" s="316"/>
      <c r="E805" s="331"/>
      <c r="F805" s="316"/>
      <c r="G805" s="331"/>
      <c r="H805" s="316"/>
      <c r="I805" s="331"/>
      <c r="J805" s="316"/>
      <c r="K805" s="331"/>
      <c r="L805" s="316"/>
      <c r="M805" s="7"/>
      <c r="N805" s="217"/>
    </row>
    <row r="806" spans="1:14" s="6" customFormat="1" ht="15" customHeight="1" x14ac:dyDescent="0.25">
      <c r="A806" s="33"/>
      <c r="B806" s="40"/>
      <c r="C806" s="317"/>
      <c r="D806" s="316"/>
      <c r="E806" s="331"/>
      <c r="F806" s="316"/>
      <c r="G806" s="331"/>
      <c r="H806" s="316"/>
      <c r="I806" s="331"/>
      <c r="J806" s="316"/>
      <c r="K806" s="331"/>
      <c r="L806" s="316"/>
      <c r="M806" s="7"/>
      <c r="N806" s="217"/>
    </row>
    <row r="807" spans="1:14" s="6" customFormat="1" ht="15" customHeight="1" x14ac:dyDescent="0.25">
      <c r="A807" s="33"/>
      <c r="B807" s="40"/>
      <c r="C807" s="318"/>
      <c r="D807" s="319"/>
      <c r="E807" s="380"/>
      <c r="F807" s="319"/>
      <c r="G807" s="381"/>
      <c r="H807" s="382"/>
      <c r="I807" s="380"/>
      <c r="J807" s="319"/>
      <c r="K807" s="380"/>
      <c r="L807" s="319"/>
      <c r="M807" s="7"/>
      <c r="N807" s="217"/>
    </row>
    <row r="808" spans="1:14" s="6" customFormat="1" ht="15" customHeight="1" x14ac:dyDescent="0.25">
      <c r="A808" s="487" t="s">
        <v>33</v>
      </c>
      <c r="B808" s="488"/>
      <c r="C808" s="210">
        <f>K801+3</f>
        <v>42506</v>
      </c>
      <c r="D808" s="211"/>
      <c r="E808" s="213">
        <f>C808+1</f>
        <v>42507</v>
      </c>
      <c r="F808" s="211"/>
      <c r="G808" s="213">
        <f>E808+1</f>
        <v>42508</v>
      </c>
      <c r="H808" s="211"/>
      <c r="I808" s="213">
        <f>G808+1</f>
        <v>42509</v>
      </c>
      <c r="J808" s="211"/>
      <c r="K808" s="213">
        <f>I808+1</f>
        <v>42510</v>
      </c>
      <c r="L808" s="211"/>
      <c r="M808" s="7"/>
      <c r="N808" s="217"/>
    </row>
    <row r="809" spans="1:14" s="6" customFormat="1" ht="15" customHeight="1" x14ac:dyDescent="0.25">
      <c r="A809" s="487"/>
      <c r="B809" s="488"/>
      <c r="C809" s="476"/>
      <c r="D809" s="456"/>
      <c r="E809" s="331"/>
      <c r="F809" s="316"/>
      <c r="G809" s="331"/>
      <c r="H809" s="316"/>
      <c r="I809" s="331"/>
      <c r="J809" s="316"/>
      <c r="K809" s="331"/>
      <c r="L809" s="316"/>
      <c r="M809" s="7"/>
      <c r="N809" s="217"/>
    </row>
    <row r="810" spans="1:14" s="6" customFormat="1" ht="15" customHeight="1" x14ac:dyDescent="0.25">
      <c r="A810" s="487"/>
      <c r="B810" s="488"/>
      <c r="C810" s="331"/>
      <c r="D810" s="316"/>
      <c r="E810" s="331"/>
      <c r="F810" s="316"/>
      <c r="G810" s="331"/>
      <c r="H810" s="316"/>
      <c r="I810" s="331"/>
      <c r="J810" s="316"/>
      <c r="K810" s="331"/>
      <c r="L810" s="316"/>
      <c r="M810" s="7"/>
      <c r="N810" s="217"/>
    </row>
    <row r="811" spans="1:14" s="6" customFormat="1" ht="15" customHeight="1" x14ac:dyDescent="0.25">
      <c r="A811" s="487"/>
      <c r="B811" s="488"/>
      <c r="C811" s="386" t="s">
        <v>168</v>
      </c>
      <c r="D811" s="486"/>
      <c r="E811" s="331"/>
      <c r="F811" s="316"/>
      <c r="G811" s="331"/>
      <c r="H811" s="316"/>
      <c r="I811" s="331"/>
      <c r="J811" s="316"/>
      <c r="K811" s="331"/>
      <c r="L811" s="316"/>
      <c r="M811" s="7"/>
      <c r="N811" s="217"/>
    </row>
    <row r="812" spans="1:14" s="6" customFormat="1" ht="15" customHeight="1" x14ac:dyDescent="0.25">
      <c r="A812" s="487"/>
      <c r="B812" s="488"/>
      <c r="C812" s="331"/>
      <c r="D812" s="316"/>
      <c r="E812" s="331"/>
      <c r="F812" s="316"/>
      <c r="G812" s="331"/>
      <c r="H812" s="316"/>
      <c r="I812" s="331"/>
      <c r="J812" s="316"/>
      <c r="K812" s="331"/>
      <c r="L812" s="316"/>
      <c r="M812" s="7"/>
      <c r="N812" s="217"/>
    </row>
    <row r="813" spans="1:14" s="6" customFormat="1" ht="15" customHeight="1" x14ac:dyDescent="0.25">
      <c r="A813" s="487"/>
      <c r="B813" s="488"/>
      <c r="C813" s="331"/>
      <c r="D813" s="316"/>
      <c r="E813" s="331"/>
      <c r="F813" s="316"/>
      <c r="G813" s="331"/>
      <c r="H813" s="316"/>
      <c r="I813" s="331"/>
      <c r="J813" s="316"/>
      <c r="K813" s="331"/>
      <c r="L813" s="316"/>
      <c r="M813" s="7"/>
      <c r="N813" s="217"/>
    </row>
    <row r="814" spans="1:14" s="6" customFormat="1" ht="15" customHeight="1" x14ac:dyDescent="0.25">
      <c r="A814" s="487"/>
      <c r="B814" s="488"/>
      <c r="C814" s="380"/>
      <c r="D814" s="319"/>
      <c r="E814" s="380"/>
      <c r="F814" s="319"/>
      <c r="G814" s="381"/>
      <c r="H814" s="382"/>
      <c r="I814" s="380"/>
      <c r="J814" s="319"/>
      <c r="K814" s="380"/>
      <c r="L814" s="319"/>
      <c r="M814" s="7"/>
      <c r="N814" s="217"/>
    </row>
    <row r="815" spans="1:14" s="6" customFormat="1" ht="15" customHeight="1" x14ac:dyDescent="0.2">
      <c r="A815" s="487"/>
      <c r="B815" s="488"/>
      <c r="C815" s="210">
        <f>K808+3</f>
        <v>42513</v>
      </c>
      <c r="D815" s="211"/>
      <c r="E815" s="213">
        <f>C815+1</f>
        <v>42514</v>
      </c>
      <c r="F815" s="211"/>
      <c r="G815" s="213">
        <f>E815+1</f>
        <v>42515</v>
      </c>
      <c r="H815" s="211"/>
      <c r="I815" s="213">
        <f>G815+1</f>
        <v>42516</v>
      </c>
      <c r="J815" s="211"/>
      <c r="K815" s="213">
        <f>I815+1</f>
        <v>42517</v>
      </c>
      <c r="L815" s="211"/>
      <c r="M815" s="7"/>
      <c r="N815" s="10"/>
    </row>
    <row r="816" spans="1:14" s="6" customFormat="1" ht="15" customHeight="1" x14ac:dyDescent="0.25">
      <c r="A816" s="487"/>
      <c r="B816" s="488"/>
      <c r="C816" s="476"/>
      <c r="D816" s="456"/>
      <c r="E816" s="331"/>
      <c r="F816" s="316"/>
      <c r="G816" s="304"/>
      <c r="H816" s="216"/>
      <c r="I816" s="331"/>
      <c r="J816" s="316"/>
      <c r="K816" s="331"/>
      <c r="L816" s="316"/>
      <c r="M816" s="7"/>
      <c r="N816" s="219"/>
    </row>
    <row r="817" spans="1:14" s="6" customFormat="1" ht="15" customHeight="1" x14ac:dyDescent="0.25">
      <c r="A817" s="487"/>
      <c r="B817" s="488"/>
      <c r="C817" s="331"/>
      <c r="D817" s="316"/>
      <c r="E817" s="331"/>
      <c r="F817" s="316"/>
      <c r="G817" s="331"/>
      <c r="H817" s="316"/>
      <c r="I817" s="331"/>
      <c r="J817" s="316"/>
      <c r="K817" s="331"/>
      <c r="L817" s="316"/>
      <c r="M817" s="7"/>
      <c r="N817" s="219"/>
    </row>
    <row r="818" spans="1:14" s="6" customFormat="1" ht="15" customHeight="1" x14ac:dyDescent="0.25">
      <c r="A818" s="487"/>
      <c r="B818" s="488"/>
      <c r="C818" s="386"/>
      <c r="D818" s="384"/>
      <c r="E818" s="331"/>
      <c r="F818" s="316"/>
      <c r="G818" s="331"/>
      <c r="H818" s="316"/>
      <c r="I818" s="489"/>
      <c r="J818" s="316"/>
      <c r="K818" s="489"/>
      <c r="L818" s="316"/>
      <c r="M818" s="7"/>
      <c r="N818" s="219"/>
    </row>
    <row r="819" spans="1:14" s="6" customFormat="1" ht="15" customHeight="1" x14ac:dyDescent="0.25">
      <c r="A819" s="487"/>
      <c r="B819" s="488"/>
      <c r="C819" s="331"/>
      <c r="D819" s="316"/>
      <c r="E819" s="331"/>
      <c r="F819" s="316"/>
      <c r="G819" s="331"/>
      <c r="H819" s="316"/>
      <c r="I819" s="331"/>
      <c r="J819" s="316"/>
      <c r="K819" s="331"/>
      <c r="L819" s="316"/>
      <c r="M819" s="7"/>
      <c r="N819" s="219"/>
    </row>
    <row r="820" spans="1:14" s="6" customFormat="1" ht="15" customHeight="1" x14ac:dyDescent="0.2">
      <c r="A820" s="487"/>
      <c r="B820" s="488"/>
      <c r="C820" s="331"/>
      <c r="D820" s="316"/>
      <c r="E820" s="331"/>
      <c r="F820" s="316"/>
      <c r="G820" s="331"/>
      <c r="H820" s="316"/>
      <c r="I820" s="331"/>
      <c r="J820" s="316"/>
      <c r="K820" s="331"/>
      <c r="L820" s="316"/>
      <c r="M820" s="7"/>
      <c r="N820" s="9"/>
    </row>
    <row r="821" spans="1:14" s="6" customFormat="1" ht="15" customHeight="1" x14ac:dyDescent="0.25">
      <c r="A821" s="487"/>
      <c r="B821" s="488"/>
      <c r="C821" s="380"/>
      <c r="D821" s="319"/>
      <c r="E821" s="380"/>
      <c r="F821" s="319"/>
      <c r="G821" s="381"/>
      <c r="H821" s="382"/>
      <c r="I821" s="380"/>
      <c r="J821" s="319"/>
      <c r="K821" s="380"/>
      <c r="L821" s="319"/>
      <c r="M821" s="7"/>
      <c r="N821" s="220"/>
    </row>
    <row r="822" spans="1:14" s="6" customFormat="1" ht="15" customHeight="1" x14ac:dyDescent="0.2">
      <c r="A822" s="487"/>
      <c r="B822" s="488"/>
      <c r="C822" s="210">
        <f>K815+3</f>
        <v>42520</v>
      </c>
      <c r="D822" s="211"/>
      <c r="E822" s="213">
        <f>C822+1</f>
        <v>42521</v>
      </c>
      <c r="F822" s="211"/>
      <c r="G822" s="213">
        <f>E822+1</f>
        <v>42522</v>
      </c>
      <c r="H822" s="211"/>
      <c r="I822" s="213">
        <f>G822+1</f>
        <v>42523</v>
      </c>
      <c r="J822" s="211"/>
      <c r="K822" s="213">
        <f>I822+1</f>
        <v>42524</v>
      </c>
      <c r="L822" s="211"/>
      <c r="M822" s="7"/>
      <c r="N822" s="8"/>
    </row>
    <row r="823" spans="1:14" s="6" customFormat="1" ht="15" customHeight="1" x14ac:dyDescent="0.25">
      <c r="A823" s="487"/>
      <c r="B823" s="488"/>
      <c r="C823" s="317"/>
      <c r="D823" s="316"/>
      <c r="E823" s="331"/>
      <c r="F823" s="316"/>
      <c r="G823" s="331"/>
      <c r="H823" s="316"/>
      <c r="I823" s="331"/>
      <c r="J823" s="316"/>
      <c r="K823" s="331"/>
      <c r="L823" s="316"/>
      <c r="M823" s="7"/>
      <c r="N823" s="221"/>
    </row>
    <row r="824" spans="1:14" s="6" customFormat="1" ht="15" customHeight="1" x14ac:dyDescent="0.25">
      <c r="A824" s="487"/>
      <c r="B824" s="488"/>
      <c r="C824" s="317"/>
      <c r="D824" s="316"/>
      <c r="E824" s="331"/>
      <c r="F824" s="316"/>
      <c r="G824" s="331"/>
      <c r="H824" s="316"/>
      <c r="I824" s="331"/>
      <c r="J824" s="316"/>
      <c r="K824" s="331"/>
      <c r="L824" s="316"/>
      <c r="M824" s="7"/>
      <c r="N824" s="221"/>
    </row>
    <row r="825" spans="1:14" s="6" customFormat="1" ht="15" customHeight="1" x14ac:dyDescent="0.25">
      <c r="A825" s="487"/>
      <c r="B825" s="488"/>
      <c r="C825" s="383"/>
      <c r="D825" s="384"/>
      <c r="E825" s="331"/>
      <c r="F825" s="316"/>
      <c r="G825" s="331"/>
      <c r="H825" s="379"/>
      <c r="I825" s="331"/>
      <c r="J825" s="316"/>
      <c r="K825" s="331"/>
      <c r="L825" s="316"/>
      <c r="M825" s="7"/>
      <c r="N825" s="221"/>
    </row>
    <row r="826" spans="1:14" s="6" customFormat="1" ht="15" customHeight="1" x14ac:dyDescent="0.25">
      <c r="A826" s="487"/>
      <c r="B826" s="488"/>
      <c r="C826" s="490"/>
      <c r="D826" s="491"/>
      <c r="E826" s="331"/>
      <c r="F826" s="316"/>
      <c r="G826" s="331"/>
      <c r="H826" s="316"/>
      <c r="I826" s="331"/>
      <c r="J826" s="316"/>
      <c r="K826" s="331"/>
      <c r="L826" s="316"/>
      <c r="M826" s="7"/>
      <c r="N826" s="221"/>
    </row>
    <row r="827" spans="1:14" s="6" customFormat="1" ht="15" customHeight="1" x14ac:dyDescent="0.25">
      <c r="A827" s="487"/>
      <c r="B827" s="488"/>
      <c r="C827" s="317"/>
      <c r="D827" s="316"/>
      <c r="E827" s="331"/>
      <c r="F827" s="316"/>
      <c r="G827" s="331"/>
      <c r="H827" s="316"/>
      <c r="I827" s="331"/>
      <c r="J827" s="316"/>
      <c r="K827" s="331"/>
      <c r="L827" s="316"/>
      <c r="M827" s="7"/>
      <c r="N827" s="221"/>
    </row>
    <row r="828" spans="1:14" s="6" customFormat="1" ht="15" customHeight="1" x14ac:dyDescent="0.25">
      <c r="A828" s="487"/>
      <c r="B828" s="488"/>
      <c r="C828" s="318"/>
      <c r="D828" s="319"/>
      <c r="E828" s="380"/>
      <c r="F828" s="319"/>
      <c r="G828" s="381"/>
      <c r="H828" s="382"/>
      <c r="I828" s="380"/>
      <c r="J828" s="319"/>
      <c r="K828" s="380"/>
      <c r="L828" s="319"/>
      <c r="M828" s="7"/>
      <c r="N828" s="217"/>
    </row>
    <row r="829" spans="1:14" s="6" customFormat="1" ht="15" customHeight="1" x14ac:dyDescent="0.25">
      <c r="A829" s="33"/>
      <c r="B829" s="435"/>
      <c r="C829" s="210">
        <f>K822+3</f>
        <v>42527</v>
      </c>
      <c r="D829" s="211"/>
      <c r="E829" s="213">
        <f>C829+1</f>
        <v>42528</v>
      </c>
      <c r="F829" s="211"/>
      <c r="G829" s="213">
        <f>E829+1</f>
        <v>42529</v>
      </c>
      <c r="H829" s="211"/>
      <c r="I829" s="213">
        <f>G829+1</f>
        <v>42530</v>
      </c>
      <c r="J829" s="211"/>
      <c r="K829" s="213">
        <f>I829+1</f>
        <v>42531</v>
      </c>
      <c r="L829" s="211"/>
      <c r="M829" s="7"/>
      <c r="N829" s="217"/>
    </row>
    <row r="830" spans="1:14" s="6" customFormat="1" ht="15" customHeight="1" x14ac:dyDescent="0.25">
      <c r="A830" s="33"/>
      <c r="B830" s="434"/>
      <c r="C830" s="317"/>
      <c r="D830" s="316"/>
      <c r="E830" s="331"/>
      <c r="F830" s="316"/>
      <c r="G830" s="331"/>
      <c r="H830" s="316"/>
      <c r="I830" s="331"/>
      <c r="J830" s="316"/>
      <c r="K830" s="331"/>
      <c r="L830" s="316"/>
      <c r="M830" s="7"/>
      <c r="N830" s="217"/>
    </row>
    <row r="831" spans="1:14" s="6" customFormat="1" ht="15" customHeight="1" x14ac:dyDescent="0.25">
      <c r="A831" s="33"/>
      <c r="B831" s="434"/>
      <c r="C831" s="317"/>
      <c r="D831" s="316"/>
      <c r="E831" s="331"/>
      <c r="F831" s="316"/>
      <c r="G831" s="331"/>
      <c r="H831" s="316"/>
      <c r="I831" s="331"/>
      <c r="J831" s="316"/>
      <c r="K831" s="331"/>
      <c r="L831" s="316"/>
      <c r="M831" s="7"/>
      <c r="N831" s="206"/>
    </row>
    <row r="832" spans="1:14" s="6" customFormat="1" ht="15" customHeight="1" x14ac:dyDescent="0.25">
      <c r="A832" s="33"/>
      <c r="B832" s="434"/>
      <c r="C832" s="383"/>
      <c r="D832" s="384"/>
      <c r="E832" s="428"/>
      <c r="F832" s="431"/>
      <c r="G832" s="331"/>
      <c r="H832" s="316"/>
      <c r="I832" s="331"/>
      <c r="J832" s="316"/>
      <c r="K832" s="331"/>
      <c r="L832" s="316"/>
      <c r="M832" s="7"/>
      <c r="N832" s="206"/>
    </row>
    <row r="833" spans="1:14" s="6" customFormat="1" ht="15" customHeight="1" x14ac:dyDescent="0.25">
      <c r="A833" s="33"/>
      <c r="B833" s="434"/>
      <c r="C833" s="317"/>
      <c r="D833" s="316"/>
      <c r="E833" s="331"/>
      <c r="F833" s="316"/>
      <c r="G833" s="331"/>
      <c r="H833" s="316"/>
      <c r="I833" s="331"/>
      <c r="J833" s="316"/>
      <c r="K833" s="331"/>
      <c r="L833" s="316"/>
      <c r="M833" s="7"/>
      <c r="N833" s="206"/>
    </row>
    <row r="834" spans="1:14" s="6" customFormat="1" ht="15" customHeight="1" x14ac:dyDescent="0.25">
      <c r="A834" s="33"/>
      <c r="B834" s="434"/>
      <c r="C834" s="317"/>
      <c r="D834" s="316"/>
      <c r="E834" s="331"/>
      <c r="F834" s="316"/>
      <c r="G834" s="331"/>
      <c r="H834" s="316"/>
      <c r="I834" s="331"/>
      <c r="J834" s="316"/>
      <c r="K834" s="331"/>
      <c r="L834" s="316"/>
      <c r="M834" s="7"/>
      <c r="N834" s="206"/>
    </row>
    <row r="835" spans="1:14" s="6" customFormat="1" ht="15" customHeight="1" x14ac:dyDescent="0.25">
      <c r="A835" s="33"/>
      <c r="B835" s="434"/>
      <c r="C835" s="318"/>
      <c r="D835" s="319"/>
      <c r="E835" s="380"/>
      <c r="F835" s="319"/>
      <c r="G835" s="381"/>
      <c r="H835" s="382"/>
      <c r="I835" s="380"/>
      <c r="J835" s="319"/>
      <c r="K835" s="380"/>
      <c r="L835" s="319"/>
      <c r="M835" s="7"/>
      <c r="N835" s="206"/>
    </row>
    <row r="836" spans="1:14" s="6" customFormat="1" ht="15" customHeight="1" x14ac:dyDescent="0.25">
      <c r="A836" s="33"/>
      <c r="B836" s="42"/>
      <c r="C836" s="210">
        <f>K829+3</f>
        <v>42534</v>
      </c>
      <c r="D836" s="211"/>
      <c r="E836" s="213">
        <f>C836+1</f>
        <v>42535</v>
      </c>
      <c r="F836" s="211"/>
      <c r="G836" s="213">
        <f>E836+1</f>
        <v>42536</v>
      </c>
      <c r="H836" s="222"/>
      <c r="I836" s="213">
        <f>G836+1</f>
        <v>42537</v>
      </c>
      <c r="J836" s="222"/>
      <c r="K836" s="213">
        <f>I836+1</f>
        <v>42538</v>
      </c>
      <c r="L836" s="222"/>
      <c r="M836" s="7"/>
      <c r="N836" s="206"/>
    </row>
    <row r="837" spans="1:14" s="6" customFormat="1" ht="15" customHeight="1" x14ac:dyDescent="0.25">
      <c r="A837" s="33"/>
      <c r="B837" s="42"/>
      <c r="C837" s="440"/>
      <c r="D837" s="456"/>
      <c r="E837" s="331"/>
      <c r="F837" s="316"/>
      <c r="G837" s="331"/>
      <c r="H837" s="316"/>
      <c r="I837" s="331"/>
      <c r="J837" s="316"/>
      <c r="K837" s="331"/>
      <c r="L837" s="316"/>
      <c r="M837" s="7"/>
      <c r="N837" s="206"/>
    </row>
    <row r="838" spans="1:14" s="6" customFormat="1" ht="15" customHeight="1" x14ac:dyDescent="0.25">
      <c r="A838" s="33"/>
      <c r="B838" s="42"/>
      <c r="C838" s="317"/>
      <c r="D838" s="316"/>
      <c r="E838" s="331"/>
      <c r="F838" s="316"/>
      <c r="G838" s="331"/>
      <c r="H838" s="316"/>
      <c r="I838" s="331"/>
      <c r="J838" s="316"/>
      <c r="K838" s="331"/>
      <c r="L838" s="316"/>
      <c r="M838" s="7"/>
      <c r="N838" s="206"/>
    </row>
    <row r="839" spans="1:14" s="6" customFormat="1" ht="15" customHeight="1" x14ac:dyDescent="0.25">
      <c r="A839" s="33"/>
      <c r="B839" s="42"/>
      <c r="C839" s="317"/>
      <c r="D839" s="316"/>
      <c r="E839" s="331"/>
      <c r="F839" s="316"/>
      <c r="G839" s="331"/>
      <c r="H839" s="316"/>
      <c r="I839" s="331"/>
      <c r="J839" s="316"/>
      <c r="K839" s="331"/>
      <c r="L839" s="316"/>
      <c r="M839" s="7"/>
      <c r="N839" s="206"/>
    </row>
    <row r="840" spans="1:14" s="6" customFormat="1" ht="15" customHeight="1" x14ac:dyDescent="0.25">
      <c r="A840" s="33"/>
      <c r="B840" s="42"/>
      <c r="C840" s="317"/>
      <c r="D840" s="316"/>
      <c r="E840" s="331"/>
      <c r="F840" s="316"/>
      <c r="G840" s="331"/>
      <c r="H840" s="316"/>
      <c r="I840" s="331"/>
      <c r="J840" s="316"/>
      <c r="K840" s="331"/>
      <c r="L840" s="316"/>
      <c r="M840" s="7"/>
      <c r="N840" s="206"/>
    </row>
    <row r="841" spans="1:14" s="6" customFormat="1" ht="15" customHeight="1" x14ac:dyDescent="0.25">
      <c r="A841" s="33"/>
      <c r="B841" s="42"/>
      <c r="C841" s="317"/>
      <c r="D841" s="316"/>
      <c r="E841" s="331"/>
      <c r="F841" s="316"/>
      <c r="G841" s="331"/>
      <c r="H841" s="316"/>
      <c r="I841" s="331"/>
      <c r="J841" s="316"/>
      <c r="K841" s="331"/>
      <c r="L841" s="316"/>
      <c r="M841" s="7"/>
      <c r="N841" s="206"/>
    </row>
    <row r="842" spans="1:14" s="6" customFormat="1" ht="15" customHeight="1" x14ac:dyDescent="0.25">
      <c r="A842" s="33"/>
      <c r="B842" s="42"/>
      <c r="C842" s="318"/>
      <c r="D842" s="319"/>
      <c r="E842" s="380"/>
      <c r="F842" s="319"/>
      <c r="G842" s="381"/>
      <c r="H842" s="382"/>
      <c r="I842" s="380"/>
      <c r="J842" s="319"/>
      <c r="K842" s="380"/>
      <c r="L842" s="319"/>
      <c r="M842" s="7"/>
      <c r="N842" s="206"/>
    </row>
    <row r="843" spans="1:14" s="6" customFormat="1" ht="15" customHeight="1" x14ac:dyDescent="0.25">
      <c r="A843" s="492"/>
      <c r="B843" s="482" t="s">
        <v>32</v>
      </c>
      <c r="C843" s="210">
        <f>K836+3</f>
        <v>42541</v>
      </c>
      <c r="D843" s="222"/>
      <c r="E843" s="213">
        <f>C843+1</f>
        <v>42542</v>
      </c>
      <c r="F843" s="223"/>
      <c r="G843" s="213">
        <f>E843+1</f>
        <v>42543</v>
      </c>
      <c r="H843" s="222"/>
      <c r="I843" s="213">
        <f>G843+1</f>
        <v>42544</v>
      </c>
      <c r="J843" s="222"/>
      <c r="K843" s="213">
        <f>I843+1</f>
        <v>42545</v>
      </c>
      <c r="L843" s="222"/>
      <c r="M843" s="7"/>
      <c r="N843" s="206"/>
    </row>
    <row r="844" spans="1:14" s="6" customFormat="1" ht="15" customHeight="1" x14ac:dyDescent="0.25">
      <c r="A844" s="492"/>
      <c r="B844" s="482"/>
      <c r="C844" s="476"/>
      <c r="D844" s="456"/>
      <c r="E844" s="331"/>
      <c r="F844" s="316"/>
      <c r="G844" s="331"/>
      <c r="H844" s="316"/>
      <c r="I844" s="331"/>
      <c r="J844" s="316"/>
      <c r="K844" s="331"/>
      <c r="L844" s="316"/>
      <c r="M844" s="7"/>
      <c r="N844" s="206"/>
    </row>
    <row r="845" spans="1:14" s="6" customFormat="1" ht="15" customHeight="1" x14ac:dyDescent="0.25">
      <c r="A845" s="492"/>
      <c r="B845" s="482"/>
      <c r="C845" s="331"/>
      <c r="D845" s="316"/>
      <c r="E845" s="331"/>
      <c r="F845" s="316"/>
      <c r="G845" s="331"/>
      <c r="H845" s="316"/>
      <c r="I845" s="331"/>
      <c r="J845" s="316"/>
      <c r="K845" s="331"/>
      <c r="L845" s="316"/>
      <c r="M845" s="7"/>
      <c r="N845" s="206"/>
    </row>
    <row r="846" spans="1:14" s="6" customFormat="1" ht="15" customHeight="1" x14ac:dyDescent="0.25">
      <c r="A846" s="492"/>
      <c r="B846" s="482"/>
      <c r="C846" s="386" t="s">
        <v>168</v>
      </c>
      <c r="D846" s="384"/>
      <c r="E846" s="331"/>
      <c r="F846" s="316"/>
      <c r="G846" s="331"/>
      <c r="H846" s="316"/>
      <c r="I846" s="331"/>
      <c r="J846" s="316"/>
      <c r="K846" s="331"/>
      <c r="L846" s="316"/>
      <c r="M846" s="7"/>
      <c r="N846" s="206"/>
    </row>
    <row r="847" spans="1:14" s="6" customFormat="1" ht="15" customHeight="1" x14ac:dyDescent="0.25">
      <c r="A847" s="492"/>
      <c r="B847" s="482"/>
      <c r="C847" s="331"/>
      <c r="D847" s="316"/>
      <c r="E847" s="331"/>
      <c r="F847" s="316"/>
      <c r="G847" s="386"/>
      <c r="H847" s="384"/>
      <c r="I847" s="331"/>
      <c r="J847" s="316"/>
      <c r="K847" s="331"/>
      <c r="L847" s="316"/>
      <c r="M847" s="7"/>
      <c r="N847" s="206"/>
    </row>
    <row r="848" spans="1:14" s="6" customFormat="1" ht="15" customHeight="1" x14ac:dyDescent="0.25">
      <c r="A848" s="492"/>
      <c r="B848" s="482"/>
      <c r="C848" s="331"/>
      <c r="D848" s="316"/>
      <c r="E848" s="331"/>
      <c r="F848" s="316"/>
      <c r="G848" s="331"/>
      <c r="H848" s="316"/>
      <c r="I848" s="331"/>
      <c r="J848" s="316"/>
      <c r="K848" s="331"/>
      <c r="L848" s="316"/>
      <c r="M848" s="7"/>
      <c r="N848" s="206"/>
    </row>
    <row r="849" spans="1:14" s="6" customFormat="1" ht="15" customHeight="1" x14ac:dyDescent="0.25">
      <c r="A849" s="492"/>
      <c r="B849" s="482"/>
      <c r="C849" s="380"/>
      <c r="D849" s="319"/>
      <c r="E849" s="380"/>
      <c r="F849" s="319"/>
      <c r="G849" s="381"/>
      <c r="H849" s="382"/>
      <c r="I849" s="380"/>
      <c r="J849" s="319"/>
      <c r="K849" s="380"/>
      <c r="L849" s="319"/>
      <c r="M849" s="7"/>
      <c r="N849" s="206"/>
    </row>
    <row r="850" spans="1:14" s="6" customFormat="1" ht="15" customHeight="1" x14ac:dyDescent="0.25">
      <c r="A850" s="492"/>
      <c r="B850" s="482"/>
      <c r="C850" s="210">
        <f>K843+3</f>
        <v>42548</v>
      </c>
      <c r="D850" s="222"/>
      <c r="E850" s="213">
        <f>C850+1</f>
        <v>42549</v>
      </c>
      <c r="F850" s="223"/>
      <c r="G850" s="213">
        <f>E850+1</f>
        <v>42550</v>
      </c>
      <c r="H850" s="222"/>
      <c r="I850" s="213">
        <f>G850+1</f>
        <v>42551</v>
      </c>
      <c r="J850" s="222"/>
      <c r="K850" s="213">
        <f>I850+1</f>
        <v>42552</v>
      </c>
      <c r="L850" s="222"/>
      <c r="M850" s="7"/>
      <c r="N850" s="206"/>
    </row>
    <row r="851" spans="1:14" s="6" customFormat="1" ht="15" customHeight="1" x14ac:dyDescent="0.25">
      <c r="A851" s="492"/>
      <c r="B851" s="482"/>
      <c r="C851" s="476"/>
      <c r="D851" s="456"/>
      <c r="E851" s="331"/>
      <c r="F851" s="316"/>
      <c r="G851" s="493"/>
      <c r="H851" s="494"/>
      <c r="I851" s="331"/>
      <c r="J851" s="316"/>
      <c r="K851" s="331"/>
      <c r="L851" s="316"/>
      <c r="M851" s="7"/>
      <c r="N851" s="206"/>
    </row>
    <row r="852" spans="1:14" s="6" customFormat="1" ht="15" customHeight="1" x14ac:dyDescent="0.25">
      <c r="A852" s="492"/>
      <c r="B852" s="482"/>
      <c r="C852" s="331"/>
      <c r="D852" s="316"/>
      <c r="E852" s="331"/>
      <c r="F852" s="316"/>
      <c r="G852" s="493"/>
      <c r="H852" s="494"/>
      <c r="I852" s="331"/>
      <c r="J852" s="316"/>
      <c r="K852" s="331"/>
      <c r="L852" s="316"/>
      <c r="M852" s="7"/>
      <c r="N852" s="206"/>
    </row>
    <row r="853" spans="1:14" s="6" customFormat="1" ht="15" customHeight="1" x14ac:dyDescent="0.25">
      <c r="A853" s="492"/>
      <c r="B853" s="482"/>
      <c r="C853" s="386"/>
      <c r="D853" s="384"/>
      <c r="E853" s="331"/>
      <c r="F853" s="316"/>
      <c r="G853" s="493"/>
      <c r="H853" s="494"/>
      <c r="I853" s="331"/>
      <c r="J853" s="316"/>
      <c r="K853" s="331"/>
      <c r="L853" s="316"/>
      <c r="M853" s="7"/>
      <c r="N853" s="206"/>
    </row>
    <row r="854" spans="1:14" s="6" customFormat="1" ht="15" customHeight="1" x14ac:dyDescent="0.25">
      <c r="A854" s="492"/>
      <c r="B854" s="482"/>
      <c r="C854" s="331"/>
      <c r="D854" s="316"/>
      <c r="E854" s="331"/>
      <c r="F854" s="316"/>
      <c r="G854" s="493"/>
      <c r="H854" s="494"/>
      <c r="I854" s="331"/>
      <c r="J854" s="316"/>
      <c r="K854" s="331"/>
      <c r="L854" s="316"/>
      <c r="M854" s="7"/>
      <c r="N854" s="206"/>
    </row>
    <row r="855" spans="1:14" s="6" customFormat="1" ht="15" customHeight="1" x14ac:dyDescent="0.25">
      <c r="A855" s="492"/>
      <c r="B855" s="482"/>
      <c r="C855" s="331"/>
      <c r="D855" s="316"/>
      <c r="E855" s="331"/>
      <c r="F855" s="316"/>
      <c r="G855" s="493"/>
      <c r="H855" s="494"/>
      <c r="I855" s="331"/>
      <c r="J855" s="316"/>
      <c r="K855" s="331"/>
      <c r="L855" s="316"/>
      <c r="M855" s="7"/>
      <c r="N855" s="206"/>
    </row>
    <row r="856" spans="1:14" s="6" customFormat="1" ht="15" customHeight="1" x14ac:dyDescent="0.25">
      <c r="A856" s="492"/>
      <c r="B856" s="483"/>
      <c r="C856" s="380"/>
      <c r="D856" s="319"/>
      <c r="E856" s="380"/>
      <c r="F856" s="319"/>
      <c r="G856" s="381"/>
      <c r="H856" s="382"/>
      <c r="I856" s="380"/>
      <c r="J856" s="319"/>
      <c r="K856" s="380"/>
      <c r="L856" s="319"/>
      <c r="M856" s="7"/>
      <c r="N856" s="206"/>
    </row>
    <row r="857" spans="1:14" s="6" customFormat="1" ht="15" customHeight="1" x14ac:dyDescent="0.25">
      <c r="A857" s="33"/>
      <c r="B857" s="441"/>
      <c r="C857" s="210">
        <f>K850+3</f>
        <v>42555</v>
      </c>
      <c r="D857" s="222"/>
      <c r="E857" s="213">
        <f>C857+1</f>
        <v>42556</v>
      </c>
      <c r="F857" s="223"/>
      <c r="G857" s="213">
        <f>E857+1</f>
        <v>42557</v>
      </c>
      <c r="H857" s="222"/>
      <c r="I857" s="213">
        <f>G857+1</f>
        <v>42558</v>
      </c>
      <c r="J857" s="222"/>
      <c r="K857" s="213">
        <f>I857+1</f>
        <v>42559</v>
      </c>
      <c r="L857" s="222"/>
      <c r="M857" s="7"/>
      <c r="N857" s="206"/>
    </row>
    <row r="858" spans="1:14" s="6" customFormat="1" ht="15" customHeight="1" x14ac:dyDescent="0.25">
      <c r="A858" s="33"/>
      <c r="B858" s="429"/>
      <c r="C858" s="317"/>
      <c r="D858" s="316"/>
      <c r="E858" s="331"/>
      <c r="F858" s="316"/>
      <c r="G858" s="331"/>
      <c r="H858" s="316"/>
      <c r="I858" s="331"/>
      <c r="J858" s="316"/>
      <c r="K858" s="331"/>
      <c r="L858" s="316"/>
      <c r="M858" s="7"/>
      <c r="N858" s="206"/>
    </row>
    <row r="859" spans="1:14" s="6" customFormat="1" ht="15" customHeight="1" x14ac:dyDescent="0.25">
      <c r="A859" s="33"/>
      <c r="B859" s="429"/>
      <c r="C859" s="317"/>
      <c r="D859" s="316"/>
      <c r="E859" s="331"/>
      <c r="F859" s="316"/>
      <c r="G859" s="331"/>
      <c r="H859" s="316"/>
      <c r="I859" s="331"/>
      <c r="J859" s="316"/>
      <c r="K859" s="331"/>
      <c r="L859" s="316"/>
      <c r="M859" s="7"/>
      <c r="N859" s="206"/>
    </row>
    <row r="860" spans="1:14" s="6" customFormat="1" ht="15" customHeight="1" x14ac:dyDescent="0.25">
      <c r="A860" s="33"/>
      <c r="B860" s="429"/>
      <c r="C860" s="317"/>
      <c r="D860" s="316"/>
      <c r="E860" s="331"/>
      <c r="F860" s="316"/>
      <c r="G860" s="331"/>
      <c r="H860" s="316"/>
      <c r="I860" s="331"/>
      <c r="J860" s="316"/>
      <c r="K860" s="331"/>
      <c r="L860" s="316"/>
      <c r="M860" s="7"/>
      <c r="N860" s="206"/>
    </row>
    <row r="861" spans="1:14" s="6" customFormat="1" ht="15" customHeight="1" x14ac:dyDescent="0.25">
      <c r="A861" s="33"/>
      <c r="B861" s="429"/>
      <c r="C861" s="317"/>
      <c r="D861" s="316"/>
      <c r="E861" s="331"/>
      <c r="F861" s="316"/>
      <c r="G861" s="331"/>
      <c r="H861" s="316"/>
      <c r="I861" s="331"/>
      <c r="J861" s="316"/>
      <c r="K861" s="331"/>
      <c r="L861" s="316"/>
      <c r="M861" s="7"/>
      <c r="N861" s="206"/>
    </row>
    <row r="862" spans="1:14" s="6" customFormat="1" ht="15" customHeight="1" x14ac:dyDescent="0.25">
      <c r="A862" s="33"/>
      <c r="B862" s="429"/>
      <c r="C862" s="317"/>
      <c r="D862" s="316"/>
      <c r="E862" s="331"/>
      <c r="F862" s="316"/>
      <c r="G862" s="331"/>
      <c r="H862" s="316"/>
      <c r="I862" s="331"/>
      <c r="J862" s="316"/>
      <c r="K862" s="331"/>
      <c r="L862" s="316"/>
      <c r="M862" s="7"/>
      <c r="N862" s="206"/>
    </row>
    <row r="863" spans="1:14" s="6" customFormat="1" ht="15" customHeight="1" x14ac:dyDescent="0.25">
      <c r="A863" s="33"/>
      <c r="B863" s="429"/>
      <c r="C863" s="318"/>
      <c r="D863" s="319"/>
      <c r="E863" s="380"/>
      <c r="F863" s="319"/>
      <c r="G863" s="381"/>
      <c r="H863" s="382"/>
      <c r="I863" s="380"/>
      <c r="J863" s="319"/>
      <c r="K863" s="380"/>
      <c r="L863" s="319"/>
      <c r="M863" s="7"/>
      <c r="N863" s="206"/>
    </row>
    <row r="864" spans="1:14" s="6" customFormat="1" ht="15" customHeight="1" x14ac:dyDescent="0.25">
      <c r="A864" s="33"/>
      <c r="B864" s="40"/>
      <c r="C864" s="210">
        <f>K857+3</f>
        <v>42562</v>
      </c>
      <c r="D864" s="211"/>
      <c r="E864" s="213">
        <f>C864+1</f>
        <v>42563</v>
      </c>
      <c r="F864" s="223"/>
      <c r="G864" s="213">
        <f>E864+1</f>
        <v>42564</v>
      </c>
      <c r="H864" s="222"/>
      <c r="I864" s="213">
        <f>G864+1</f>
        <v>42565</v>
      </c>
      <c r="J864" s="222"/>
      <c r="K864" s="213">
        <f>I864+1</f>
        <v>42566</v>
      </c>
      <c r="L864" s="222"/>
      <c r="M864" s="7"/>
      <c r="N864" s="206"/>
    </row>
    <row r="865" spans="1:14" s="6" customFormat="1" ht="15" customHeight="1" x14ac:dyDescent="0.25">
      <c r="A865" s="33"/>
      <c r="B865" s="40"/>
      <c r="C865" s="440"/>
      <c r="D865" s="456"/>
      <c r="E865" s="331"/>
      <c r="F865" s="316"/>
      <c r="G865" s="331"/>
      <c r="H865" s="316"/>
      <c r="I865" s="331"/>
      <c r="J865" s="316"/>
      <c r="K865" s="331"/>
      <c r="L865" s="316"/>
      <c r="M865" s="7"/>
      <c r="N865" s="206"/>
    </row>
    <row r="866" spans="1:14" s="6" customFormat="1" ht="15" customHeight="1" x14ac:dyDescent="0.25">
      <c r="A866" s="33"/>
      <c r="B866" s="40"/>
      <c r="C866" s="317"/>
      <c r="D866" s="316"/>
      <c r="E866" s="331"/>
      <c r="F866" s="316"/>
      <c r="G866" s="331"/>
      <c r="H866" s="316"/>
      <c r="I866" s="331"/>
      <c r="J866" s="316"/>
      <c r="K866" s="331"/>
      <c r="L866" s="316"/>
      <c r="M866" s="7"/>
      <c r="N866" s="206"/>
    </row>
    <row r="867" spans="1:14" s="6" customFormat="1" ht="15" customHeight="1" x14ac:dyDescent="0.25">
      <c r="A867" s="33"/>
      <c r="B867" s="40"/>
      <c r="C867" s="383"/>
      <c r="D867" s="384"/>
      <c r="E867" s="331"/>
      <c r="F867" s="316"/>
      <c r="G867" s="331"/>
      <c r="H867" s="316"/>
      <c r="I867" s="331"/>
      <c r="J867" s="316"/>
      <c r="K867" s="331"/>
      <c r="L867" s="316"/>
      <c r="M867" s="7"/>
      <c r="N867" s="206"/>
    </row>
    <row r="868" spans="1:14" s="6" customFormat="1" ht="15" customHeight="1" x14ac:dyDescent="0.25">
      <c r="A868" s="33"/>
      <c r="B868" s="40"/>
      <c r="C868" s="317"/>
      <c r="D868" s="316"/>
      <c r="E868" s="331"/>
      <c r="F868" s="316"/>
      <c r="G868" s="331"/>
      <c r="H868" s="316"/>
      <c r="I868" s="331"/>
      <c r="J868" s="316"/>
      <c r="K868" s="331"/>
      <c r="L868" s="316"/>
      <c r="M868" s="7"/>
      <c r="N868" s="206"/>
    </row>
    <row r="869" spans="1:14" s="6" customFormat="1" ht="15" customHeight="1" x14ac:dyDescent="0.25">
      <c r="A869" s="33"/>
      <c r="B869" s="40"/>
      <c r="C869" s="317"/>
      <c r="D869" s="316"/>
      <c r="E869" s="331"/>
      <c r="F869" s="316"/>
      <c r="G869" s="331"/>
      <c r="H869" s="316"/>
      <c r="I869" s="331"/>
      <c r="J869" s="316"/>
      <c r="K869" s="331"/>
      <c r="L869" s="316"/>
      <c r="M869" s="7"/>
      <c r="N869" s="206"/>
    </row>
    <row r="870" spans="1:14" s="6" customFormat="1" ht="15" customHeight="1" x14ac:dyDescent="0.25">
      <c r="A870" s="33"/>
      <c r="B870" s="40"/>
      <c r="C870" s="318"/>
      <c r="D870" s="319"/>
      <c r="E870" s="380"/>
      <c r="F870" s="319"/>
      <c r="G870" s="381"/>
      <c r="H870" s="382"/>
      <c r="I870" s="380"/>
      <c r="J870" s="319"/>
      <c r="K870" s="380"/>
      <c r="L870" s="319"/>
      <c r="M870" s="7"/>
      <c r="N870" s="206"/>
    </row>
    <row r="871" spans="1:14" s="6" customFormat="1" ht="15" customHeight="1" x14ac:dyDescent="0.25">
      <c r="A871" s="33"/>
      <c r="B871" s="479" t="s">
        <v>31</v>
      </c>
      <c r="C871" s="210">
        <f>K864+3</f>
        <v>42569</v>
      </c>
      <c r="D871" s="222"/>
      <c r="E871" s="213">
        <f>C871+1</f>
        <v>42570</v>
      </c>
      <c r="F871" s="223"/>
      <c r="G871" s="213">
        <f>E871+1</f>
        <v>42571</v>
      </c>
      <c r="H871" s="222"/>
      <c r="I871" s="213">
        <f>G871+1</f>
        <v>42572</v>
      </c>
      <c r="J871" s="222"/>
      <c r="K871" s="213">
        <f>I871+1</f>
        <v>42573</v>
      </c>
      <c r="L871" s="222"/>
      <c r="M871" s="7"/>
      <c r="N871" s="206"/>
    </row>
    <row r="872" spans="1:14" s="6" customFormat="1" ht="15" customHeight="1" x14ac:dyDescent="0.25">
      <c r="A872" s="33"/>
      <c r="B872" s="479"/>
      <c r="C872" s="440"/>
      <c r="D872" s="456"/>
      <c r="E872" s="331"/>
      <c r="F872" s="316"/>
      <c r="G872" s="331"/>
      <c r="H872" s="316"/>
      <c r="I872" s="331"/>
      <c r="J872" s="316"/>
      <c r="K872" s="331"/>
      <c r="L872" s="316"/>
      <c r="M872" s="7"/>
      <c r="N872" s="206"/>
    </row>
    <row r="873" spans="1:14" s="6" customFormat="1" ht="15" customHeight="1" x14ac:dyDescent="0.25">
      <c r="A873" s="33"/>
      <c r="B873" s="479"/>
      <c r="C873" s="317"/>
      <c r="D873" s="316"/>
      <c r="E873" s="331"/>
      <c r="F873" s="316"/>
      <c r="G873" s="331"/>
      <c r="H873" s="316"/>
      <c r="I873" s="331"/>
      <c r="J873" s="316"/>
      <c r="K873" s="331"/>
      <c r="L873" s="316"/>
      <c r="M873" s="7"/>
      <c r="N873" s="206"/>
    </row>
    <row r="874" spans="1:14" s="6" customFormat="1" ht="15" customHeight="1" x14ac:dyDescent="0.25">
      <c r="A874" s="33"/>
      <c r="B874" s="479"/>
      <c r="C874" s="383"/>
      <c r="D874" s="384"/>
      <c r="E874" s="331"/>
      <c r="F874" s="316"/>
      <c r="G874" s="331"/>
      <c r="H874" s="316"/>
      <c r="I874" s="331"/>
      <c r="J874" s="316"/>
      <c r="K874" s="331"/>
      <c r="L874" s="316"/>
      <c r="M874" s="7"/>
      <c r="N874" s="206"/>
    </row>
    <row r="875" spans="1:14" s="6" customFormat="1" ht="15" customHeight="1" x14ac:dyDescent="0.25">
      <c r="A875" s="33"/>
      <c r="B875" s="479"/>
      <c r="C875" s="317"/>
      <c r="D875" s="316"/>
      <c r="E875" s="331"/>
      <c r="F875" s="316"/>
      <c r="G875" s="331"/>
      <c r="H875" s="316"/>
      <c r="I875" s="331"/>
      <c r="J875" s="316"/>
      <c r="K875" s="331"/>
      <c r="L875" s="316"/>
      <c r="M875" s="7"/>
      <c r="N875" s="206"/>
    </row>
    <row r="876" spans="1:14" s="6" customFormat="1" ht="15" customHeight="1" x14ac:dyDescent="0.25">
      <c r="A876" s="33"/>
      <c r="B876" s="479"/>
      <c r="C876" s="317"/>
      <c r="D876" s="316"/>
      <c r="E876" s="331"/>
      <c r="F876" s="316"/>
      <c r="G876" s="331"/>
      <c r="H876" s="316"/>
      <c r="I876" s="331"/>
      <c r="J876" s="316"/>
      <c r="K876" s="331"/>
      <c r="L876" s="316"/>
      <c r="M876" s="7"/>
      <c r="N876" s="206"/>
    </row>
    <row r="877" spans="1:14" s="6" customFormat="1" ht="15" customHeight="1" x14ac:dyDescent="0.25">
      <c r="A877" s="33"/>
      <c r="B877" s="479"/>
      <c r="C877" s="318"/>
      <c r="D877" s="319"/>
      <c r="E877" s="380"/>
      <c r="F877" s="319"/>
      <c r="G877" s="381"/>
      <c r="H877" s="382"/>
      <c r="I877" s="380"/>
      <c r="J877" s="319"/>
      <c r="K877" s="380"/>
      <c r="L877" s="319"/>
      <c r="M877" s="7"/>
      <c r="N877" s="206"/>
    </row>
    <row r="878" spans="1:14" s="6" customFormat="1" ht="15" customHeight="1" x14ac:dyDescent="0.25">
      <c r="A878" s="492"/>
      <c r="B878" s="479"/>
      <c r="C878" s="210">
        <f>K871+3</f>
        <v>42576</v>
      </c>
      <c r="D878" s="222"/>
      <c r="E878" s="213">
        <f>C878+1</f>
        <v>42577</v>
      </c>
      <c r="F878" s="223"/>
      <c r="G878" s="213">
        <f>E878+1</f>
        <v>42578</v>
      </c>
      <c r="H878" s="222"/>
      <c r="I878" s="213">
        <f>G878+1</f>
        <v>42579</v>
      </c>
      <c r="J878" s="222"/>
      <c r="K878" s="213">
        <f>I878+1</f>
        <v>42580</v>
      </c>
      <c r="L878" s="222"/>
      <c r="M878" s="7"/>
      <c r="N878" s="206"/>
    </row>
    <row r="879" spans="1:14" s="6" customFormat="1" ht="15" customHeight="1" x14ac:dyDescent="0.25">
      <c r="A879" s="492"/>
      <c r="B879" s="479"/>
      <c r="C879" s="440"/>
      <c r="D879" s="456"/>
      <c r="E879" s="331"/>
      <c r="F879" s="316"/>
      <c r="G879" s="331"/>
      <c r="H879" s="316"/>
      <c r="I879" s="331"/>
      <c r="J879" s="316"/>
      <c r="K879" s="331"/>
      <c r="L879" s="316"/>
      <c r="M879" s="7"/>
      <c r="N879" s="206"/>
    </row>
    <row r="880" spans="1:14" s="6" customFormat="1" ht="15" customHeight="1" x14ac:dyDescent="0.25">
      <c r="A880" s="492"/>
      <c r="B880" s="479"/>
      <c r="C880" s="317"/>
      <c r="D880" s="316"/>
      <c r="E880" s="331"/>
      <c r="F880" s="316"/>
      <c r="G880" s="331"/>
      <c r="H880" s="316"/>
      <c r="I880" s="331"/>
      <c r="J880" s="316"/>
      <c r="K880" s="331"/>
      <c r="L880" s="316"/>
      <c r="M880" s="7"/>
      <c r="N880" s="206"/>
    </row>
    <row r="881" spans="1:14" s="6" customFormat="1" ht="15" customHeight="1" x14ac:dyDescent="0.25">
      <c r="A881" s="492"/>
      <c r="B881" s="479"/>
      <c r="C881" s="383" t="s">
        <v>168</v>
      </c>
      <c r="D881" s="384"/>
      <c r="E881" s="331"/>
      <c r="F881" s="316"/>
      <c r="G881" s="331"/>
      <c r="H881" s="316"/>
      <c r="I881" s="331"/>
      <c r="J881" s="316"/>
      <c r="K881" s="331"/>
      <c r="L881" s="316"/>
      <c r="M881" s="7"/>
      <c r="N881" s="206"/>
    </row>
    <row r="882" spans="1:14" s="6" customFormat="1" ht="15" customHeight="1" x14ac:dyDescent="0.25">
      <c r="A882" s="492"/>
      <c r="B882" s="479"/>
      <c r="C882" s="317"/>
      <c r="D882" s="316"/>
      <c r="E882" s="331"/>
      <c r="F882" s="316"/>
      <c r="G882" s="331"/>
      <c r="H882" s="316"/>
      <c r="I882" s="331"/>
      <c r="J882" s="316"/>
      <c r="K882" s="331"/>
      <c r="L882" s="316"/>
      <c r="M882" s="7"/>
      <c r="N882" s="206"/>
    </row>
    <row r="883" spans="1:14" s="6" customFormat="1" ht="15" customHeight="1" x14ac:dyDescent="0.25">
      <c r="A883" s="492"/>
      <c r="B883" s="479"/>
      <c r="C883" s="317"/>
      <c r="D883" s="316"/>
      <c r="E883" s="331"/>
      <c r="F883" s="316"/>
      <c r="G883" s="331"/>
      <c r="H883" s="316"/>
      <c r="I883" s="331"/>
      <c r="J883" s="316"/>
      <c r="K883" s="331"/>
      <c r="L883" s="316"/>
      <c r="M883" s="7"/>
      <c r="N883" s="206"/>
    </row>
    <row r="884" spans="1:14" s="6" customFormat="1" ht="15" customHeight="1" x14ac:dyDescent="0.25">
      <c r="A884" s="492"/>
      <c r="B884" s="480"/>
      <c r="C884" s="318"/>
      <c r="D884" s="319"/>
      <c r="E884" s="380"/>
      <c r="F884" s="319"/>
      <c r="G884" s="381"/>
      <c r="H884" s="382"/>
      <c r="I884" s="462"/>
      <c r="J884" s="319"/>
      <c r="K884" s="462"/>
      <c r="L884" s="319"/>
      <c r="M884" s="7"/>
      <c r="N884" s="206"/>
    </row>
    <row r="885" spans="1:14" s="6" customFormat="1" ht="15" customHeight="1" x14ac:dyDescent="0.25">
      <c r="A885" s="492"/>
      <c r="B885" s="41"/>
      <c r="C885" s="210">
        <f>K878+3</f>
        <v>42583</v>
      </c>
      <c r="D885" s="224"/>
      <c r="E885" s="213">
        <f>C885+1</f>
        <v>42584</v>
      </c>
      <c r="F885" s="223"/>
      <c r="G885" s="213">
        <f>E885+1</f>
        <v>42585</v>
      </c>
      <c r="H885" s="222"/>
      <c r="I885" s="213">
        <f>G885+1</f>
        <v>42586</v>
      </c>
      <c r="J885" s="222"/>
      <c r="K885" s="213">
        <f>I885+1</f>
        <v>42587</v>
      </c>
      <c r="L885" s="222"/>
      <c r="M885" s="7"/>
      <c r="N885" s="206"/>
    </row>
    <row r="886" spans="1:14" s="6" customFormat="1" ht="15" customHeight="1" x14ac:dyDescent="0.25">
      <c r="A886" s="492"/>
      <c r="B886" s="42"/>
      <c r="C886" s="476"/>
      <c r="D886" s="456"/>
      <c r="E886" s="331"/>
      <c r="F886" s="316"/>
      <c r="G886" s="331"/>
      <c r="H886" s="316"/>
      <c r="I886" s="331"/>
      <c r="J886" s="316"/>
      <c r="K886" s="331"/>
      <c r="L886" s="316"/>
      <c r="M886" s="7"/>
      <c r="N886" s="206"/>
    </row>
    <row r="887" spans="1:14" s="6" customFormat="1" ht="15" customHeight="1" x14ac:dyDescent="0.25">
      <c r="A887" s="492"/>
      <c r="B887" s="42"/>
      <c r="C887" s="331"/>
      <c r="D887" s="316"/>
      <c r="E887" s="331"/>
      <c r="F887" s="316"/>
      <c r="G887" s="331"/>
      <c r="H887" s="316"/>
      <c r="I887" s="331"/>
      <c r="J887" s="316"/>
      <c r="K887" s="331"/>
      <c r="L887" s="316"/>
      <c r="M887" s="7"/>
      <c r="N887" s="206"/>
    </row>
    <row r="888" spans="1:14" s="6" customFormat="1" ht="15" customHeight="1" x14ac:dyDescent="0.25">
      <c r="A888" s="492"/>
      <c r="B888" s="42"/>
      <c r="C888" s="386"/>
      <c r="D888" s="384"/>
      <c r="E888" s="331"/>
      <c r="F888" s="316"/>
      <c r="G888" s="331"/>
      <c r="H888" s="316"/>
      <c r="I888" s="331"/>
      <c r="J888" s="316"/>
      <c r="K888" s="331"/>
      <c r="L888" s="316"/>
      <c r="M888" s="7"/>
      <c r="N888" s="206"/>
    </row>
    <row r="889" spans="1:14" s="6" customFormat="1" ht="15" customHeight="1" x14ac:dyDescent="0.25">
      <c r="A889" s="492"/>
      <c r="B889" s="42"/>
      <c r="C889" s="459"/>
      <c r="D889" s="316"/>
      <c r="E889" s="331"/>
      <c r="F889" s="316"/>
      <c r="G889" s="331"/>
      <c r="H889" s="316"/>
      <c r="I889" s="331"/>
      <c r="J889" s="316"/>
      <c r="K889" s="331"/>
      <c r="L889" s="316"/>
      <c r="M889" s="7"/>
      <c r="N889" s="206"/>
    </row>
    <row r="890" spans="1:14" s="6" customFormat="1" ht="15" customHeight="1" x14ac:dyDescent="0.25">
      <c r="A890" s="492"/>
      <c r="B890" s="42"/>
      <c r="C890" s="331"/>
      <c r="D890" s="316"/>
      <c r="E890" s="331"/>
      <c r="F890" s="316"/>
      <c r="G890" s="331"/>
      <c r="H890" s="316"/>
      <c r="I890" s="331"/>
      <c r="J890" s="316"/>
      <c r="K890" s="331"/>
      <c r="L890" s="316"/>
      <c r="M890" s="7"/>
      <c r="N890" s="206"/>
    </row>
    <row r="891" spans="1:14" s="6" customFormat="1" ht="15" customHeight="1" x14ac:dyDescent="0.25">
      <c r="A891" s="492"/>
      <c r="B891" s="42"/>
      <c r="C891" s="380"/>
      <c r="D891" s="319"/>
      <c r="E891" s="380"/>
      <c r="F891" s="319"/>
      <c r="G891" s="381"/>
      <c r="H891" s="382"/>
      <c r="I891" s="380"/>
      <c r="J891" s="319"/>
      <c r="K891" s="380"/>
      <c r="L891" s="319"/>
      <c r="M891" s="7"/>
      <c r="N891" s="206"/>
    </row>
    <row r="892" spans="1:14" s="6" customFormat="1" ht="15" customHeight="1" x14ac:dyDescent="0.25">
      <c r="A892" s="33"/>
      <c r="B892" s="42"/>
      <c r="C892" s="210">
        <f>K885+3</f>
        <v>42590</v>
      </c>
      <c r="D892" s="225"/>
      <c r="E892" s="213">
        <f>C892+1</f>
        <v>42591</v>
      </c>
      <c r="F892" s="223"/>
      <c r="G892" s="213">
        <f>E892+1</f>
        <v>42592</v>
      </c>
      <c r="H892" s="211"/>
      <c r="I892" s="213">
        <f>G892+1</f>
        <v>42593</v>
      </c>
      <c r="J892" s="222"/>
      <c r="K892" s="213">
        <f>I892+1</f>
        <v>42594</v>
      </c>
      <c r="L892" s="222"/>
      <c r="M892" s="7"/>
      <c r="N892" s="206"/>
    </row>
    <row r="893" spans="1:14" s="6" customFormat="1" ht="15" customHeight="1" x14ac:dyDescent="0.25">
      <c r="A893" s="33"/>
      <c r="B893" s="42"/>
      <c r="C893" s="317"/>
      <c r="D893" s="316"/>
      <c r="E893" s="331"/>
      <c r="F893" s="316"/>
      <c r="G893" s="331"/>
      <c r="H893" s="316"/>
      <c r="I893" s="331"/>
      <c r="J893" s="316"/>
      <c r="K893" s="331"/>
      <c r="L893" s="316"/>
      <c r="M893" s="7"/>
      <c r="N893" s="206"/>
    </row>
    <row r="894" spans="1:14" s="6" customFormat="1" ht="15" customHeight="1" x14ac:dyDescent="0.25">
      <c r="A894" s="33"/>
      <c r="B894" s="42"/>
      <c r="C894" s="317"/>
      <c r="D894" s="316"/>
      <c r="E894" s="331"/>
      <c r="F894" s="316"/>
      <c r="G894" s="331"/>
      <c r="H894" s="316"/>
      <c r="I894" s="331"/>
      <c r="J894" s="316"/>
      <c r="K894" s="331"/>
      <c r="L894" s="316"/>
      <c r="M894" s="7"/>
      <c r="N894" s="206"/>
    </row>
    <row r="895" spans="1:14" s="6" customFormat="1" ht="15" customHeight="1" x14ac:dyDescent="0.25">
      <c r="A895" s="33"/>
      <c r="B895" s="42"/>
      <c r="C895" s="383" t="s">
        <v>168</v>
      </c>
      <c r="D895" s="384"/>
      <c r="E895" s="331"/>
      <c r="F895" s="316"/>
      <c r="G895" s="331"/>
      <c r="H895" s="316"/>
      <c r="I895" s="331"/>
      <c r="J895" s="316"/>
      <c r="K895" s="331"/>
      <c r="L895" s="316"/>
      <c r="M895" s="7"/>
      <c r="N895" s="206"/>
    </row>
    <row r="896" spans="1:14" s="6" customFormat="1" ht="15" customHeight="1" x14ac:dyDescent="0.25">
      <c r="A896" s="33"/>
      <c r="B896" s="42"/>
      <c r="C896" s="317"/>
      <c r="D896" s="316"/>
      <c r="E896" s="331"/>
      <c r="F896" s="316"/>
      <c r="G896" s="331"/>
      <c r="H896" s="316"/>
      <c r="I896" s="331"/>
      <c r="J896" s="316"/>
      <c r="K896" s="331"/>
      <c r="L896" s="316"/>
      <c r="M896" s="7"/>
      <c r="N896" s="206"/>
    </row>
    <row r="897" spans="1:14" s="6" customFormat="1" ht="15" customHeight="1" x14ac:dyDescent="0.25">
      <c r="A897" s="33"/>
      <c r="B897" s="42"/>
      <c r="C897" s="317"/>
      <c r="D897" s="316"/>
      <c r="E897" s="331"/>
      <c r="F897" s="316"/>
      <c r="G897" s="331"/>
      <c r="H897" s="316"/>
      <c r="I897" s="331"/>
      <c r="J897" s="316"/>
      <c r="K897" s="331"/>
      <c r="L897" s="316"/>
      <c r="M897" s="7"/>
      <c r="N897" s="206"/>
    </row>
    <row r="898" spans="1:14" s="6" customFormat="1" ht="15" customHeight="1" x14ac:dyDescent="0.25">
      <c r="A898" s="33"/>
      <c r="B898" s="42"/>
      <c r="C898" s="318"/>
      <c r="D898" s="319"/>
      <c r="E898" s="380"/>
      <c r="F898" s="319"/>
      <c r="G898" s="381"/>
      <c r="H898" s="382"/>
      <c r="I898" s="380"/>
      <c r="J898" s="319"/>
      <c r="K898" s="380"/>
      <c r="L898" s="319"/>
      <c r="M898" s="7"/>
      <c r="N898" s="206"/>
    </row>
    <row r="899" spans="1:14" s="6" customFormat="1" ht="15" customHeight="1" x14ac:dyDescent="0.25">
      <c r="A899" s="33"/>
      <c r="B899" s="42"/>
      <c r="C899" s="210">
        <f>K892+3</f>
        <v>42597</v>
      </c>
      <c r="D899" s="222"/>
      <c r="E899" s="213">
        <f>C899+1</f>
        <v>42598</v>
      </c>
      <c r="F899" s="223"/>
      <c r="G899" s="213">
        <f>E899+1</f>
        <v>42599</v>
      </c>
      <c r="H899" s="222"/>
      <c r="I899" s="213">
        <f>G899+1</f>
        <v>42600</v>
      </c>
      <c r="J899" s="222"/>
      <c r="K899" s="213">
        <f>I899+1</f>
        <v>42601</v>
      </c>
      <c r="L899" s="222"/>
      <c r="M899" s="7"/>
      <c r="N899" s="206"/>
    </row>
    <row r="900" spans="1:14" s="6" customFormat="1" ht="15" customHeight="1" x14ac:dyDescent="0.25">
      <c r="A900" s="33"/>
      <c r="B900" s="42"/>
      <c r="C900" s="317"/>
      <c r="D900" s="316"/>
      <c r="E900" s="331"/>
      <c r="F900" s="316"/>
      <c r="G900" s="331"/>
      <c r="H900" s="316"/>
      <c r="I900" s="331"/>
      <c r="J900" s="316"/>
      <c r="K900" s="331"/>
      <c r="L900" s="316"/>
      <c r="M900" s="7"/>
      <c r="N900" s="206"/>
    </row>
    <row r="901" spans="1:14" s="6" customFormat="1" ht="15" customHeight="1" x14ac:dyDescent="0.25">
      <c r="A901" s="33"/>
      <c r="B901" s="42"/>
      <c r="C901" s="317"/>
      <c r="D901" s="316"/>
      <c r="E901" s="331"/>
      <c r="F901" s="316"/>
      <c r="G901" s="331"/>
      <c r="H901" s="316"/>
      <c r="I901" s="331"/>
      <c r="J901" s="316"/>
      <c r="K901" s="331"/>
      <c r="L901" s="316"/>
      <c r="M901" s="7"/>
      <c r="N901" s="206"/>
    </row>
    <row r="902" spans="1:14" s="6" customFormat="1" ht="15" customHeight="1" x14ac:dyDescent="0.25">
      <c r="A902" s="33"/>
      <c r="B902" s="42"/>
      <c r="C902" s="383"/>
      <c r="D902" s="384"/>
      <c r="E902" s="331"/>
      <c r="F902" s="316"/>
      <c r="G902" s="331"/>
      <c r="H902" s="316"/>
      <c r="I902" s="331"/>
      <c r="J902" s="316"/>
      <c r="K902" s="331"/>
      <c r="L902" s="316"/>
      <c r="M902" s="7"/>
      <c r="N902" s="206"/>
    </row>
    <row r="903" spans="1:14" s="6" customFormat="1" ht="15" customHeight="1" x14ac:dyDescent="0.25">
      <c r="A903" s="33"/>
      <c r="B903" s="42"/>
      <c r="C903" s="317"/>
      <c r="D903" s="316"/>
      <c r="E903" s="331"/>
      <c r="F903" s="316"/>
      <c r="G903" s="331"/>
      <c r="H903" s="316"/>
      <c r="I903" s="331"/>
      <c r="J903" s="316"/>
      <c r="K903" s="331"/>
      <c r="L903" s="316"/>
      <c r="M903" s="7"/>
      <c r="N903" s="206"/>
    </row>
    <row r="904" spans="1:14" s="6" customFormat="1" ht="15" customHeight="1" x14ac:dyDescent="0.25">
      <c r="A904" s="33"/>
      <c r="B904" s="42"/>
      <c r="C904" s="317"/>
      <c r="D904" s="316"/>
      <c r="E904" s="331"/>
      <c r="F904" s="316"/>
      <c r="G904" s="331"/>
      <c r="H904" s="316"/>
      <c r="I904" s="331"/>
      <c r="J904" s="316"/>
      <c r="K904" s="331"/>
      <c r="L904" s="316"/>
      <c r="M904" s="7"/>
      <c r="N904" s="206"/>
    </row>
    <row r="905" spans="1:14" s="6" customFormat="1" ht="15" customHeight="1" x14ac:dyDescent="0.25">
      <c r="A905" s="33"/>
      <c r="B905" s="42"/>
      <c r="C905" s="318"/>
      <c r="D905" s="319"/>
      <c r="E905" s="380"/>
      <c r="F905" s="319"/>
      <c r="G905" s="381"/>
      <c r="H905" s="382"/>
      <c r="I905" s="380"/>
      <c r="J905" s="319"/>
      <c r="K905" s="380"/>
      <c r="L905" s="319"/>
      <c r="M905" s="7"/>
      <c r="N905" s="206"/>
    </row>
    <row r="906" spans="1:14" s="6" customFormat="1" ht="15" customHeight="1" x14ac:dyDescent="0.25">
      <c r="A906" s="33">
        <v>0</v>
      </c>
      <c r="B906" s="482" t="s">
        <v>30</v>
      </c>
      <c r="C906" s="210">
        <f>K899+3</f>
        <v>42604</v>
      </c>
      <c r="D906" s="222"/>
      <c r="E906" s="213">
        <f>C906+1</f>
        <v>42605</v>
      </c>
      <c r="F906" s="223"/>
      <c r="G906" s="213">
        <f>E906+1</f>
        <v>42606</v>
      </c>
      <c r="H906" s="222"/>
      <c r="I906" s="213">
        <f>G906+1</f>
        <v>42607</v>
      </c>
      <c r="J906" s="222"/>
      <c r="K906" s="213">
        <f>I906+1</f>
        <v>42608</v>
      </c>
      <c r="L906" s="222"/>
      <c r="M906" s="7"/>
      <c r="N906" s="206"/>
    </row>
    <row r="907" spans="1:14" s="6" customFormat="1" ht="15" customHeight="1" x14ac:dyDescent="0.25">
      <c r="A907" s="33"/>
      <c r="B907" s="482"/>
      <c r="C907" s="440"/>
      <c r="D907" s="456"/>
      <c r="E907" s="331"/>
      <c r="F907" s="316"/>
      <c r="G907" s="331"/>
      <c r="H907" s="316"/>
      <c r="I907" s="331"/>
      <c r="J907" s="316"/>
      <c r="K907" s="331"/>
      <c r="L907" s="316"/>
      <c r="M907" s="7"/>
      <c r="N907" s="206"/>
    </row>
    <row r="908" spans="1:14" s="6" customFormat="1" ht="15" customHeight="1" x14ac:dyDescent="0.25">
      <c r="A908" s="33"/>
      <c r="B908" s="482"/>
      <c r="C908" s="317"/>
      <c r="D908" s="316"/>
      <c r="E908" s="331"/>
      <c r="F908" s="316"/>
      <c r="G908" s="331"/>
      <c r="H908" s="379"/>
      <c r="I908" s="331"/>
      <c r="J908" s="316"/>
      <c r="K908" s="331"/>
      <c r="L908" s="316"/>
      <c r="M908" s="7"/>
      <c r="N908" s="206"/>
    </row>
    <row r="909" spans="1:14" s="6" customFormat="1" ht="15" customHeight="1" x14ac:dyDescent="0.25">
      <c r="A909" s="33"/>
      <c r="B909" s="482"/>
      <c r="C909" s="383"/>
      <c r="D909" s="384"/>
      <c r="E909" s="331"/>
      <c r="F909" s="316"/>
      <c r="G909" s="331"/>
      <c r="H909" s="316"/>
      <c r="I909" s="331"/>
      <c r="J909" s="316"/>
      <c r="K909" s="331"/>
      <c r="L909" s="316"/>
      <c r="M909" s="7"/>
      <c r="N909" s="206"/>
    </row>
    <row r="910" spans="1:14" s="6" customFormat="1" ht="15" customHeight="1" x14ac:dyDescent="0.25">
      <c r="A910" s="33"/>
      <c r="B910" s="482"/>
      <c r="C910" s="317"/>
      <c r="D910" s="316"/>
      <c r="E910" s="331"/>
      <c r="F910" s="316"/>
      <c r="G910" s="331"/>
      <c r="H910" s="316"/>
      <c r="I910" s="331"/>
      <c r="J910" s="316"/>
      <c r="K910" s="331"/>
      <c r="L910" s="316"/>
      <c r="M910" s="7"/>
      <c r="N910" s="206"/>
    </row>
    <row r="911" spans="1:14" s="6" customFormat="1" ht="15" customHeight="1" x14ac:dyDescent="0.25">
      <c r="A911" s="33"/>
      <c r="B911" s="482"/>
      <c r="C911" s="317"/>
      <c r="D911" s="316"/>
      <c r="E911" s="331"/>
      <c r="F911" s="316"/>
      <c r="G911" s="331"/>
      <c r="H911" s="316"/>
      <c r="I911" s="331"/>
      <c r="J911" s="316"/>
      <c r="K911" s="331"/>
      <c r="L911" s="316"/>
      <c r="M911" s="7"/>
      <c r="N911" s="206"/>
    </row>
    <row r="912" spans="1:14" s="6" customFormat="1" ht="15" customHeight="1" x14ac:dyDescent="0.25">
      <c r="A912" s="33"/>
      <c r="B912" s="482"/>
      <c r="C912" s="318"/>
      <c r="D912" s="319"/>
      <c r="E912" s="380"/>
      <c r="F912" s="319"/>
      <c r="G912" s="381"/>
      <c r="H912" s="382"/>
      <c r="I912" s="380"/>
      <c r="J912" s="319"/>
      <c r="K912" s="380"/>
      <c r="L912" s="319"/>
      <c r="M912" s="7"/>
      <c r="N912" s="206"/>
    </row>
    <row r="913" spans="1:14" s="6" customFormat="1" ht="15" customHeight="1" x14ac:dyDescent="0.25">
      <c r="A913" s="492"/>
      <c r="B913" s="482"/>
      <c r="C913" s="210">
        <f>K906+3</f>
        <v>42611</v>
      </c>
      <c r="D913" s="222"/>
      <c r="E913" s="213">
        <f>C913+1</f>
        <v>42612</v>
      </c>
      <c r="F913" s="223"/>
      <c r="G913" s="213">
        <f>E913+1</f>
        <v>42613</v>
      </c>
      <c r="H913" s="222"/>
      <c r="I913" s="213">
        <f>G913+1</f>
        <v>42614</v>
      </c>
      <c r="J913" s="222"/>
      <c r="K913" s="213">
        <f>I913+1</f>
        <v>42615</v>
      </c>
      <c r="L913" s="222"/>
      <c r="M913" s="7"/>
      <c r="N913" s="206"/>
    </row>
    <row r="914" spans="1:14" s="6" customFormat="1" ht="15" customHeight="1" x14ac:dyDescent="0.25">
      <c r="A914" s="492"/>
      <c r="B914" s="482"/>
      <c r="C914" s="476"/>
      <c r="D914" s="456"/>
      <c r="E914" s="331"/>
      <c r="F914" s="316"/>
      <c r="G914" s="331"/>
      <c r="H914" s="316"/>
      <c r="I914" s="331"/>
      <c r="J914" s="316"/>
      <c r="K914" s="331"/>
      <c r="L914" s="316"/>
      <c r="M914" s="7"/>
      <c r="N914" s="206"/>
    </row>
    <row r="915" spans="1:14" s="6" customFormat="1" ht="15" customHeight="1" x14ac:dyDescent="0.25">
      <c r="A915" s="492"/>
      <c r="B915" s="482"/>
      <c r="C915" s="331"/>
      <c r="D915" s="316"/>
      <c r="E915" s="331"/>
      <c r="F915" s="316"/>
      <c r="G915" s="495"/>
      <c r="H915" s="496"/>
      <c r="I915" s="331"/>
      <c r="J915" s="316"/>
      <c r="K915" s="331"/>
      <c r="L915" s="316"/>
      <c r="M915" s="7"/>
      <c r="N915" s="206"/>
    </row>
    <row r="916" spans="1:14" s="6" customFormat="1" ht="15" customHeight="1" x14ac:dyDescent="0.25">
      <c r="A916" s="492"/>
      <c r="B916" s="482"/>
      <c r="C916" s="386"/>
      <c r="D916" s="384"/>
      <c r="E916" s="331"/>
      <c r="F916" s="316"/>
      <c r="G916" s="331"/>
      <c r="H916" s="316"/>
      <c r="I916" s="331"/>
      <c r="J916" s="316"/>
      <c r="K916" s="331"/>
      <c r="L916" s="316"/>
      <c r="M916" s="7"/>
      <c r="N916" s="206"/>
    </row>
    <row r="917" spans="1:14" s="6" customFormat="1" ht="15" customHeight="1" x14ac:dyDescent="0.25">
      <c r="A917" s="492"/>
      <c r="B917" s="482"/>
      <c r="C917" s="331"/>
      <c r="D917" s="316"/>
      <c r="E917" s="331"/>
      <c r="F917" s="316"/>
      <c r="G917" s="331"/>
      <c r="H917" s="316"/>
      <c r="I917" s="331"/>
      <c r="J917" s="316"/>
      <c r="K917" s="331"/>
      <c r="L917" s="316"/>
      <c r="M917" s="7"/>
      <c r="N917" s="206"/>
    </row>
    <row r="918" spans="1:14" s="6" customFormat="1" ht="15" customHeight="1" x14ac:dyDescent="0.25">
      <c r="A918" s="492"/>
      <c r="B918" s="482"/>
      <c r="C918" s="331"/>
      <c r="D918" s="316"/>
      <c r="E918" s="331"/>
      <c r="F918" s="316"/>
      <c r="G918" s="331"/>
      <c r="H918" s="316"/>
      <c r="I918" s="331"/>
      <c r="J918" s="316"/>
      <c r="K918" s="331"/>
      <c r="L918" s="316"/>
      <c r="M918" s="7"/>
      <c r="N918" s="206"/>
    </row>
    <row r="919" spans="1:14" s="6" customFormat="1" ht="15" customHeight="1" x14ac:dyDescent="0.25">
      <c r="A919" s="492"/>
      <c r="B919" s="483"/>
      <c r="C919" s="380"/>
      <c r="D919" s="319"/>
      <c r="E919" s="380"/>
      <c r="F919" s="319"/>
      <c r="G919" s="381"/>
      <c r="H919" s="382"/>
      <c r="I919" s="380"/>
      <c r="J919" s="319"/>
      <c r="K919" s="380"/>
      <c r="L919" s="319"/>
      <c r="M919" s="7"/>
      <c r="N919" s="206"/>
    </row>
    <row r="920" spans="1:14" s="6" customFormat="1" ht="15" customHeight="1" x14ac:dyDescent="0.25">
      <c r="A920" s="33"/>
      <c r="B920" s="441"/>
      <c r="C920" s="210">
        <f>K913+3</f>
        <v>42618</v>
      </c>
      <c r="D920" s="222"/>
      <c r="E920" s="213">
        <f>C920+1</f>
        <v>42619</v>
      </c>
      <c r="F920" s="223"/>
      <c r="G920" s="213">
        <f>E920+1</f>
        <v>42620</v>
      </c>
      <c r="H920" s="222"/>
      <c r="I920" s="213">
        <f>G920+1</f>
        <v>42621</v>
      </c>
      <c r="J920" s="222"/>
      <c r="K920" s="213">
        <f>I920+1</f>
        <v>42622</v>
      </c>
      <c r="L920" s="222"/>
      <c r="M920" s="7"/>
      <c r="N920" s="206"/>
    </row>
    <row r="921" spans="1:14" s="6" customFormat="1" ht="15" customHeight="1" x14ac:dyDescent="0.25">
      <c r="A921" s="33"/>
      <c r="B921" s="429"/>
      <c r="C921" s="317"/>
      <c r="D921" s="316"/>
      <c r="E921" s="331"/>
      <c r="F921" s="316"/>
      <c r="G921" s="331"/>
      <c r="H921" s="316"/>
      <c r="I921" s="331"/>
      <c r="J921" s="316"/>
      <c r="K921" s="331"/>
      <c r="L921" s="316"/>
      <c r="M921" s="7"/>
      <c r="N921" s="206"/>
    </row>
    <row r="922" spans="1:14" s="6" customFormat="1" ht="15" customHeight="1" x14ac:dyDescent="0.25">
      <c r="A922" s="33"/>
      <c r="B922" s="429"/>
      <c r="C922" s="317"/>
      <c r="D922" s="316"/>
      <c r="E922" s="331"/>
      <c r="F922" s="316"/>
      <c r="G922" s="331"/>
      <c r="H922" s="316"/>
      <c r="I922" s="331"/>
      <c r="J922" s="316"/>
      <c r="K922" s="331"/>
      <c r="L922" s="316"/>
      <c r="M922" s="7"/>
      <c r="N922" s="206"/>
    </row>
    <row r="923" spans="1:14" s="6" customFormat="1" ht="15" customHeight="1" x14ac:dyDescent="0.25">
      <c r="A923" s="33"/>
      <c r="B923" s="429"/>
      <c r="C923" s="317"/>
      <c r="D923" s="316"/>
      <c r="E923" s="531"/>
      <c r="F923" s="497"/>
      <c r="G923" s="331"/>
      <c r="H923" s="316"/>
      <c r="I923" s="331"/>
      <c r="J923" s="316"/>
      <c r="K923" s="331"/>
      <c r="L923" s="316"/>
      <c r="M923" s="7"/>
      <c r="N923" s="206"/>
    </row>
    <row r="924" spans="1:14" s="6" customFormat="1" ht="15" customHeight="1" x14ac:dyDescent="0.25">
      <c r="A924" s="33"/>
      <c r="B924" s="429"/>
      <c r="C924" s="317"/>
      <c r="D924" s="316"/>
      <c r="E924" s="331"/>
      <c r="F924" s="316"/>
      <c r="G924" s="331"/>
      <c r="H924" s="316"/>
      <c r="I924" s="331"/>
      <c r="J924" s="316"/>
      <c r="K924" s="331"/>
      <c r="L924" s="316"/>
      <c r="M924" s="7"/>
      <c r="N924" s="206"/>
    </row>
    <row r="925" spans="1:14" s="6" customFormat="1" ht="15" customHeight="1" x14ac:dyDescent="0.25">
      <c r="A925" s="33"/>
      <c r="B925" s="429"/>
      <c r="C925" s="317"/>
      <c r="D925" s="316"/>
      <c r="E925" s="331"/>
      <c r="F925" s="316"/>
      <c r="G925" s="331"/>
      <c r="H925" s="316"/>
      <c r="I925" s="331"/>
      <c r="J925" s="316"/>
      <c r="K925" s="331"/>
      <c r="L925" s="316"/>
      <c r="M925" s="7"/>
      <c r="N925" s="206"/>
    </row>
    <row r="926" spans="1:14" s="6" customFormat="1" ht="15" customHeight="1" x14ac:dyDescent="0.25">
      <c r="A926" s="33"/>
      <c r="B926" s="429"/>
      <c r="C926" s="318"/>
      <c r="D926" s="319"/>
      <c r="E926" s="380"/>
      <c r="F926" s="319"/>
      <c r="G926" s="381"/>
      <c r="H926" s="382"/>
      <c r="I926" s="380"/>
      <c r="J926" s="319"/>
      <c r="K926" s="380"/>
      <c r="L926" s="319"/>
      <c r="M926" s="7"/>
      <c r="N926" s="206"/>
    </row>
    <row r="927" spans="1:14" s="6" customFormat="1" ht="15" customHeight="1" x14ac:dyDescent="0.25">
      <c r="A927" s="33"/>
      <c r="B927" s="40"/>
      <c r="C927" s="210">
        <f>K920+3</f>
        <v>42625</v>
      </c>
      <c r="D927" s="222"/>
      <c r="E927" s="213">
        <f>C927+1</f>
        <v>42626</v>
      </c>
      <c r="F927" s="223"/>
      <c r="G927" s="213">
        <f>E927+1</f>
        <v>42627</v>
      </c>
      <c r="H927" s="222"/>
      <c r="I927" s="213">
        <f>G927+1</f>
        <v>42628</v>
      </c>
      <c r="J927" s="222"/>
      <c r="K927" s="213">
        <f>I927+1</f>
        <v>42629</v>
      </c>
      <c r="L927" s="222"/>
      <c r="M927" s="7"/>
      <c r="N927" s="206"/>
    </row>
    <row r="928" spans="1:14" s="6" customFormat="1" ht="15" customHeight="1" x14ac:dyDescent="0.25">
      <c r="A928" s="33"/>
      <c r="B928" s="40"/>
      <c r="C928" s="317"/>
      <c r="D928" s="316"/>
      <c r="E928" s="331"/>
      <c r="F928" s="316"/>
      <c r="G928" s="331"/>
      <c r="H928" s="316"/>
      <c r="I928" s="331"/>
      <c r="J928" s="316"/>
      <c r="K928" s="331"/>
      <c r="L928" s="316"/>
      <c r="M928" s="7"/>
      <c r="N928" s="206"/>
    </row>
    <row r="929" spans="1:14" s="6" customFormat="1" ht="15" customHeight="1" x14ac:dyDescent="0.25">
      <c r="A929" s="33"/>
      <c r="B929" s="40"/>
      <c r="C929" s="317"/>
      <c r="D929" s="316"/>
      <c r="E929" s="331"/>
      <c r="F929" s="316"/>
      <c r="G929" s="331"/>
      <c r="H929" s="316"/>
      <c r="I929" s="331"/>
      <c r="J929" s="316"/>
      <c r="K929" s="331"/>
      <c r="L929" s="316"/>
      <c r="M929" s="7"/>
      <c r="N929" s="206"/>
    </row>
    <row r="930" spans="1:14" s="6" customFormat="1" ht="15" customHeight="1" x14ac:dyDescent="0.25">
      <c r="A930" s="33"/>
      <c r="B930" s="40"/>
      <c r="C930" s="383"/>
      <c r="D930" s="384"/>
      <c r="E930" s="331"/>
      <c r="F930" s="316"/>
      <c r="G930" s="331"/>
      <c r="H930" s="316"/>
      <c r="I930" s="331"/>
      <c r="J930" s="316"/>
      <c r="K930" s="331"/>
      <c r="L930" s="316"/>
      <c r="M930" s="7"/>
      <c r="N930" s="206"/>
    </row>
    <row r="931" spans="1:14" s="6" customFormat="1" ht="15" customHeight="1" x14ac:dyDescent="0.25">
      <c r="A931" s="33"/>
      <c r="B931" s="40"/>
      <c r="C931" s="317"/>
      <c r="D931" s="316"/>
      <c r="E931" s="331"/>
      <c r="F931" s="316"/>
      <c r="G931" s="331"/>
      <c r="H931" s="316"/>
      <c r="I931" s="331"/>
      <c r="J931" s="316"/>
      <c r="K931" s="331"/>
      <c r="L931" s="316"/>
      <c r="M931" s="7"/>
      <c r="N931" s="206"/>
    </row>
    <row r="932" spans="1:14" s="6" customFormat="1" ht="15" customHeight="1" x14ac:dyDescent="0.25">
      <c r="A932" s="33"/>
      <c r="B932" s="40"/>
      <c r="C932" s="317"/>
      <c r="D932" s="316"/>
      <c r="E932" s="331"/>
      <c r="F932" s="316"/>
      <c r="G932" s="331"/>
      <c r="H932" s="316"/>
      <c r="I932" s="331"/>
      <c r="J932" s="316"/>
      <c r="K932" s="331"/>
      <c r="L932" s="316"/>
      <c r="M932" s="7"/>
      <c r="N932" s="206"/>
    </row>
    <row r="933" spans="1:14" s="6" customFormat="1" ht="15" customHeight="1" x14ac:dyDescent="0.25">
      <c r="A933" s="33"/>
      <c r="B933" s="40"/>
      <c r="C933" s="318"/>
      <c r="D933" s="319"/>
      <c r="E933" s="380"/>
      <c r="F933" s="319"/>
      <c r="G933" s="381"/>
      <c r="H933" s="382"/>
      <c r="I933" s="380"/>
      <c r="J933" s="319"/>
      <c r="K933" s="380"/>
      <c r="L933" s="319"/>
      <c r="M933" s="7"/>
      <c r="N933" s="206"/>
    </row>
    <row r="934" spans="1:14" s="6" customFormat="1" ht="15" customHeight="1" x14ac:dyDescent="0.25">
      <c r="A934" s="33"/>
      <c r="B934" s="479" t="s">
        <v>29</v>
      </c>
      <c r="C934" s="210">
        <f>K927+3</f>
        <v>42632</v>
      </c>
      <c r="D934" s="222"/>
      <c r="E934" s="213">
        <f>C934+1</f>
        <v>42633</v>
      </c>
      <c r="F934" s="223"/>
      <c r="G934" s="213">
        <f>E934+1</f>
        <v>42634</v>
      </c>
      <c r="H934" s="222"/>
      <c r="I934" s="213">
        <f>G934+1</f>
        <v>42635</v>
      </c>
      <c r="J934" s="222"/>
      <c r="K934" s="213">
        <f>I934+1</f>
        <v>42636</v>
      </c>
      <c r="L934" s="222"/>
      <c r="M934" s="7"/>
      <c r="N934" s="206"/>
    </row>
    <row r="935" spans="1:14" s="6" customFormat="1" ht="15" customHeight="1" x14ac:dyDescent="0.25">
      <c r="A935" s="33"/>
      <c r="B935" s="479"/>
      <c r="C935" s="440"/>
      <c r="D935" s="456"/>
      <c r="E935" s="440"/>
      <c r="F935" s="456"/>
      <c r="G935" s="331"/>
      <c r="H935" s="316"/>
      <c r="I935" s="331"/>
      <c r="J935" s="316"/>
      <c r="K935" s="331"/>
      <c r="L935" s="316"/>
      <c r="M935" s="7"/>
      <c r="N935" s="206"/>
    </row>
    <row r="936" spans="1:14" s="6" customFormat="1" ht="15" customHeight="1" x14ac:dyDescent="0.25">
      <c r="A936" s="33"/>
      <c r="B936" s="479"/>
      <c r="C936" s="317"/>
      <c r="D936" s="316"/>
      <c r="E936" s="331"/>
      <c r="F936" s="316"/>
      <c r="G936" s="331"/>
      <c r="H936" s="316"/>
      <c r="I936" s="331"/>
      <c r="J936" s="316"/>
      <c r="K936" s="331"/>
      <c r="L936" s="316"/>
      <c r="M936" s="7"/>
      <c r="N936" s="206"/>
    </row>
    <row r="937" spans="1:14" s="6" customFormat="1" ht="15" customHeight="1" x14ac:dyDescent="0.25">
      <c r="A937" s="33"/>
      <c r="B937" s="479"/>
      <c r="C937" s="383"/>
      <c r="D937" s="384"/>
      <c r="E937" s="331"/>
      <c r="F937" s="316"/>
      <c r="G937" s="331"/>
      <c r="H937" s="316"/>
      <c r="I937" s="331"/>
      <c r="J937" s="316"/>
      <c r="K937" s="331"/>
      <c r="L937" s="316"/>
      <c r="M937" s="7"/>
      <c r="N937" s="206"/>
    </row>
    <row r="938" spans="1:14" s="6" customFormat="1" ht="15" customHeight="1" x14ac:dyDescent="0.25">
      <c r="A938" s="33"/>
      <c r="B938" s="479"/>
      <c r="C938" s="317"/>
      <c r="D938" s="316"/>
      <c r="E938" s="331"/>
      <c r="F938" s="316"/>
      <c r="G938" s="331"/>
      <c r="H938" s="316"/>
      <c r="I938" s="331"/>
      <c r="J938" s="316"/>
      <c r="K938" s="331"/>
      <c r="L938" s="316"/>
      <c r="M938" s="7"/>
      <c r="N938" s="206"/>
    </row>
    <row r="939" spans="1:14" s="6" customFormat="1" ht="15" customHeight="1" x14ac:dyDescent="0.25">
      <c r="A939" s="33"/>
      <c r="B939" s="479"/>
      <c r="C939" s="317"/>
      <c r="D939" s="316"/>
      <c r="E939" s="331"/>
      <c r="F939" s="316"/>
      <c r="G939" s="331"/>
      <c r="H939" s="316"/>
      <c r="I939" s="331"/>
      <c r="J939" s="316"/>
      <c r="K939" s="331"/>
      <c r="L939" s="316"/>
      <c r="M939" s="7"/>
      <c r="N939" s="206"/>
    </row>
    <row r="940" spans="1:14" s="6" customFormat="1" ht="15" customHeight="1" x14ac:dyDescent="0.25">
      <c r="A940" s="33"/>
      <c r="B940" s="479"/>
      <c r="C940" s="318"/>
      <c r="D940" s="319"/>
      <c r="E940" s="380"/>
      <c r="F940" s="319"/>
      <c r="G940" s="381"/>
      <c r="H940" s="382"/>
      <c r="I940" s="380"/>
      <c r="J940" s="319"/>
      <c r="K940" s="380"/>
      <c r="L940" s="319"/>
      <c r="M940" s="7"/>
      <c r="N940" s="206"/>
    </row>
    <row r="941" spans="1:14" s="6" customFormat="1" ht="15" customHeight="1" x14ac:dyDescent="0.25">
      <c r="A941" s="492"/>
      <c r="B941" s="479"/>
      <c r="C941" s="210">
        <f>K934+3</f>
        <v>42639</v>
      </c>
      <c r="D941" s="222"/>
      <c r="E941" s="213">
        <f>C941+1</f>
        <v>42640</v>
      </c>
      <c r="F941" s="223"/>
      <c r="G941" s="213">
        <f>E941+1</f>
        <v>42641</v>
      </c>
      <c r="H941" s="222"/>
      <c r="I941" s="213">
        <f>G941+1</f>
        <v>42642</v>
      </c>
      <c r="J941" s="222"/>
      <c r="K941" s="213">
        <f>I941+1</f>
        <v>42643</v>
      </c>
      <c r="L941" s="222"/>
      <c r="M941" s="7"/>
      <c r="N941" s="206"/>
    </row>
    <row r="942" spans="1:14" s="6" customFormat="1" ht="15" customHeight="1" x14ac:dyDescent="0.25">
      <c r="A942" s="492"/>
      <c r="B942" s="479"/>
      <c r="C942" s="331"/>
      <c r="D942" s="316"/>
      <c r="E942" s="331"/>
      <c r="F942" s="316"/>
      <c r="G942" s="331"/>
      <c r="H942" s="316"/>
      <c r="I942" s="331"/>
      <c r="J942" s="316"/>
      <c r="K942" s="331"/>
      <c r="L942" s="316"/>
      <c r="M942" s="7"/>
      <c r="N942" s="206"/>
    </row>
    <row r="943" spans="1:14" s="6" customFormat="1" ht="15" customHeight="1" x14ac:dyDescent="0.25">
      <c r="A943" s="492"/>
      <c r="B943" s="479"/>
      <c r="C943" s="331"/>
      <c r="D943" s="316"/>
      <c r="E943" s="331"/>
      <c r="F943" s="316"/>
      <c r="G943" s="331"/>
      <c r="H943" s="316"/>
      <c r="I943" s="331"/>
      <c r="J943" s="316"/>
      <c r="K943" s="331"/>
      <c r="L943" s="316"/>
      <c r="M943" s="7"/>
      <c r="N943" s="206"/>
    </row>
    <row r="944" spans="1:14" s="6" customFormat="1" ht="15" customHeight="1" x14ac:dyDescent="0.25">
      <c r="A944" s="492"/>
      <c r="B944" s="479"/>
      <c r="C944" s="386"/>
      <c r="D944" s="384"/>
      <c r="E944" s="331"/>
      <c r="F944" s="316"/>
      <c r="G944" s="331"/>
      <c r="H944" s="316"/>
      <c r="I944" s="331"/>
      <c r="J944" s="316"/>
      <c r="K944" s="331"/>
      <c r="L944" s="316"/>
      <c r="M944" s="7"/>
      <c r="N944" s="206"/>
    </row>
    <row r="945" spans="1:14" s="6" customFormat="1" ht="15" customHeight="1" x14ac:dyDescent="0.25">
      <c r="A945" s="492"/>
      <c r="B945" s="479"/>
      <c r="C945" s="331"/>
      <c r="D945" s="316"/>
      <c r="E945" s="331"/>
      <c r="F945" s="316"/>
      <c r="G945" s="331"/>
      <c r="H945" s="316"/>
      <c r="I945" s="331"/>
      <c r="J945" s="316"/>
      <c r="K945" s="331"/>
      <c r="L945" s="316"/>
      <c r="M945" s="7"/>
      <c r="N945" s="206"/>
    </row>
    <row r="946" spans="1:14" s="6" customFormat="1" ht="15" customHeight="1" x14ac:dyDescent="0.25">
      <c r="A946" s="492"/>
      <c r="B946" s="479"/>
      <c r="C946" s="331"/>
      <c r="D946" s="316"/>
      <c r="E946" s="331"/>
      <c r="F946" s="316"/>
      <c r="G946" s="331"/>
      <c r="H946" s="316"/>
      <c r="I946" s="331"/>
      <c r="J946" s="316"/>
      <c r="K946" s="331"/>
      <c r="L946" s="316"/>
      <c r="M946" s="7"/>
      <c r="N946" s="206"/>
    </row>
    <row r="947" spans="1:14" s="6" customFormat="1" ht="15" customHeight="1" x14ac:dyDescent="0.25">
      <c r="A947" s="492"/>
      <c r="B947" s="480"/>
      <c r="C947" s="380"/>
      <c r="D947" s="319"/>
      <c r="E947" s="380"/>
      <c r="F947" s="319"/>
      <c r="G947" s="381"/>
      <c r="H947" s="382"/>
      <c r="I947" s="380"/>
      <c r="J947" s="319"/>
      <c r="K947" s="380"/>
      <c r="L947" s="319"/>
      <c r="M947" s="7"/>
      <c r="N947" s="206"/>
    </row>
    <row r="948" spans="1:14" s="6" customFormat="1" ht="15" customHeight="1" x14ac:dyDescent="0.25">
      <c r="A948" s="492"/>
      <c r="B948" s="41"/>
      <c r="C948" s="210">
        <f>K941+3</f>
        <v>42646</v>
      </c>
      <c r="D948" s="222"/>
      <c r="E948" s="213">
        <f>C948+1</f>
        <v>42647</v>
      </c>
      <c r="F948" s="223"/>
      <c r="G948" s="213">
        <f>E948+1</f>
        <v>42648</v>
      </c>
      <c r="H948" s="222"/>
      <c r="I948" s="213">
        <f>G948+1</f>
        <v>42649</v>
      </c>
      <c r="J948" s="222"/>
      <c r="K948" s="213">
        <v>42650</v>
      </c>
      <c r="L948" s="222"/>
      <c r="M948" s="7"/>
      <c r="N948" s="206"/>
    </row>
    <row r="949" spans="1:14" s="6" customFormat="1" ht="15" customHeight="1" x14ac:dyDescent="0.25">
      <c r="A949" s="492"/>
      <c r="B949" s="42"/>
      <c r="C949" s="476"/>
      <c r="D949" s="456"/>
      <c r="E949" s="331"/>
      <c r="F949" s="316"/>
      <c r="G949" s="331"/>
      <c r="H949" s="316"/>
      <c r="I949" s="331"/>
      <c r="J949" s="316"/>
      <c r="K949" s="331"/>
      <c r="L949" s="316"/>
      <c r="M949" s="7"/>
      <c r="N949" s="206"/>
    </row>
    <row r="950" spans="1:14" s="6" customFormat="1" ht="15" customHeight="1" x14ac:dyDescent="0.25">
      <c r="A950" s="492"/>
      <c r="B950" s="42"/>
      <c r="C950" s="331"/>
      <c r="D950" s="316"/>
      <c r="E950" s="331"/>
      <c r="F950" s="316"/>
      <c r="G950" s="331"/>
      <c r="H950" s="316"/>
      <c r="I950" s="331"/>
      <c r="J950" s="316"/>
      <c r="K950" s="331"/>
      <c r="L950" s="316"/>
      <c r="M950" s="7"/>
      <c r="N950" s="206"/>
    </row>
    <row r="951" spans="1:14" s="6" customFormat="1" ht="15" customHeight="1" x14ac:dyDescent="0.25">
      <c r="A951" s="492"/>
      <c r="B951" s="42"/>
      <c r="C951" s="386"/>
      <c r="D951" s="384"/>
      <c r="E951" s="331"/>
      <c r="F951" s="316"/>
      <c r="G951" s="331"/>
      <c r="H951" s="316"/>
      <c r="I951" s="331"/>
      <c r="J951" s="316"/>
      <c r="K951" s="331"/>
      <c r="L951" s="316"/>
      <c r="M951" s="7"/>
      <c r="N951" s="206"/>
    </row>
    <row r="952" spans="1:14" s="6" customFormat="1" ht="15" customHeight="1" x14ac:dyDescent="0.25">
      <c r="A952" s="492"/>
      <c r="B952" s="42"/>
      <c r="C952" s="386"/>
      <c r="D952" s="316"/>
      <c r="E952" s="331"/>
      <c r="F952" s="316"/>
      <c r="G952" s="331"/>
      <c r="H952" s="316"/>
      <c r="I952" s="331"/>
      <c r="J952" s="316"/>
      <c r="K952" s="331"/>
      <c r="L952" s="316"/>
      <c r="M952" s="7"/>
      <c r="N952" s="206"/>
    </row>
    <row r="953" spans="1:14" s="6" customFormat="1" ht="15" customHeight="1" x14ac:dyDescent="0.25">
      <c r="A953" s="492"/>
      <c r="B953" s="42"/>
      <c r="C953" s="331"/>
      <c r="D953" s="316"/>
      <c r="E953" s="331"/>
      <c r="F953" s="316"/>
      <c r="G953" s="331"/>
      <c r="H953" s="316"/>
      <c r="I953" s="331"/>
      <c r="J953" s="316"/>
      <c r="K953" s="331"/>
      <c r="L953" s="316"/>
      <c r="M953" s="7"/>
      <c r="N953" s="206"/>
    </row>
    <row r="954" spans="1:14" s="6" customFormat="1" ht="15" customHeight="1" x14ac:dyDescent="0.25">
      <c r="A954" s="492"/>
      <c r="B954" s="42"/>
      <c r="C954" s="380"/>
      <c r="D954" s="319"/>
      <c r="E954" s="380"/>
      <c r="F954" s="319"/>
      <c r="G954" s="381"/>
      <c r="H954" s="382"/>
      <c r="I954" s="380"/>
      <c r="J954" s="319"/>
      <c r="K954" s="380"/>
      <c r="L954" s="319"/>
      <c r="M954" s="7"/>
      <c r="N954" s="206"/>
    </row>
    <row r="955" spans="1:14" s="6" customFormat="1" ht="15" customHeight="1" x14ac:dyDescent="0.25">
      <c r="A955" s="33"/>
      <c r="B955" s="42"/>
      <c r="C955" s="210">
        <f>K948+3</f>
        <v>42653</v>
      </c>
      <c r="D955" s="222"/>
      <c r="E955" s="213">
        <f>C955+1</f>
        <v>42654</v>
      </c>
      <c r="F955" s="223"/>
      <c r="G955" s="213">
        <f>E955+1</f>
        <v>42655</v>
      </c>
      <c r="H955" s="222"/>
      <c r="I955" s="213">
        <f>G955+1</f>
        <v>42656</v>
      </c>
      <c r="J955" s="222"/>
      <c r="K955" s="213">
        <f>I955+1</f>
        <v>42657</v>
      </c>
      <c r="L955" s="222"/>
      <c r="M955" s="7"/>
      <c r="N955" s="206"/>
    </row>
    <row r="956" spans="1:14" s="6" customFormat="1" ht="15" customHeight="1" x14ac:dyDescent="0.25">
      <c r="A956" s="33"/>
      <c r="B956" s="42"/>
      <c r="C956" s="317"/>
      <c r="D956" s="316"/>
      <c r="E956" s="331"/>
      <c r="F956" s="316"/>
      <c r="G956" s="331"/>
      <c r="H956" s="316"/>
      <c r="I956" s="331"/>
      <c r="J956" s="316"/>
      <c r="K956" s="331"/>
      <c r="L956" s="316"/>
      <c r="M956" s="7"/>
      <c r="N956" s="206"/>
    </row>
    <row r="957" spans="1:14" s="6" customFormat="1" ht="15" customHeight="1" x14ac:dyDescent="0.25">
      <c r="A957" s="33"/>
      <c r="B957" s="42"/>
      <c r="C957" s="317"/>
      <c r="D957" s="316"/>
      <c r="E957" s="331"/>
      <c r="F957" s="316"/>
      <c r="G957" s="331"/>
      <c r="H957" s="316"/>
      <c r="I957" s="331"/>
      <c r="J957" s="316"/>
      <c r="K957" s="331"/>
      <c r="L957" s="316"/>
      <c r="M957" s="7"/>
      <c r="N957" s="206"/>
    </row>
    <row r="958" spans="1:14" s="6" customFormat="1" ht="15" customHeight="1" x14ac:dyDescent="0.25">
      <c r="A958" s="33"/>
      <c r="B958" s="42"/>
      <c r="C958" s="383" t="s">
        <v>168</v>
      </c>
      <c r="D958" s="384"/>
      <c r="E958" s="331"/>
      <c r="F958" s="316"/>
      <c r="G958" s="331"/>
      <c r="H958" s="316"/>
      <c r="I958" s="331"/>
      <c r="J958" s="316"/>
      <c r="K958" s="331"/>
      <c r="L958" s="316"/>
      <c r="M958" s="7"/>
      <c r="N958" s="206"/>
    </row>
    <row r="959" spans="1:14" s="6" customFormat="1" ht="15" customHeight="1" x14ac:dyDescent="0.25">
      <c r="A959" s="33"/>
      <c r="B959" s="42"/>
      <c r="C959" s="317"/>
      <c r="D959" s="316"/>
      <c r="E959" s="331"/>
      <c r="F959" s="316"/>
      <c r="G959" s="331"/>
      <c r="H959" s="316"/>
      <c r="I959" s="331"/>
      <c r="J959" s="316"/>
      <c r="K959" s="331"/>
      <c r="L959" s="316"/>
      <c r="M959" s="7"/>
      <c r="N959" s="206"/>
    </row>
    <row r="960" spans="1:14" s="6" customFormat="1" ht="15" customHeight="1" x14ac:dyDescent="0.25">
      <c r="A960" s="33"/>
      <c r="B960" s="42"/>
      <c r="C960" s="317"/>
      <c r="D960" s="316"/>
      <c r="E960" s="331"/>
      <c r="F960" s="316"/>
      <c r="G960" s="331"/>
      <c r="H960" s="316"/>
      <c r="I960" s="331"/>
      <c r="J960" s="316"/>
      <c r="K960" s="331"/>
      <c r="L960" s="316"/>
      <c r="M960" s="7"/>
      <c r="N960" s="206"/>
    </row>
    <row r="961" spans="1:14" s="6" customFormat="1" ht="15" customHeight="1" x14ac:dyDescent="0.25">
      <c r="A961" s="33"/>
      <c r="B961" s="42"/>
      <c r="C961" s="318"/>
      <c r="D961" s="319"/>
      <c r="E961" s="380"/>
      <c r="F961" s="319"/>
      <c r="G961" s="381"/>
      <c r="H961" s="382"/>
      <c r="I961" s="380"/>
      <c r="J961" s="319"/>
      <c r="K961" s="380"/>
      <c r="L961" s="319"/>
      <c r="M961" s="7"/>
      <c r="N961" s="206"/>
    </row>
    <row r="962" spans="1:14" s="6" customFormat="1" ht="15" customHeight="1" x14ac:dyDescent="0.25">
      <c r="A962" s="33"/>
      <c r="B962" s="42"/>
      <c r="C962" s="210">
        <f>K955+3</f>
        <v>42660</v>
      </c>
      <c r="D962" s="222"/>
      <c r="E962" s="213">
        <f>C962+1</f>
        <v>42661</v>
      </c>
      <c r="F962" s="223"/>
      <c r="G962" s="213">
        <f>E962+1</f>
        <v>42662</v>
      </c>
      <c r="H962" s="225"/>
      <c r="I962" s="213">
        <f>G962+1</f>
        <v>42663</v>
      </c>
      <c r="J962" s="222"/>
      <c r="K962" s="213">
        <f>I962+1</f>
        <v>42664</v>
      </c>
      <c r="L962" s="222"/>
      <c r="M962" s="7"/>
      <c r="N962" s="206"/>
    </row>
    <row r="963" spans="1:14" s="6" customFormat="1" ht="15" customHeight="1" x14ac:dyDescent="0.25">
      <c r="A963" s="33"/>
      <c r="B963" s="42"/>
      <c r="C963" s="498"/>
      <c r="D963" s="496"/>
      <c r="E963" s="331"/>
      <c r="F963" s="316"/>
      <c r="G963" s="331"/>
      <c r="H963" s="316"/>
      <c r="I963" s="331"/>
      <c r="J963" s="316"/>
      <c r="K963" s="331"/>
      <c r="L963" s="316"/>
      <c r="M963" s="7"/>
      <c r="N963" s="206"/>
    </row>
    <row r="964" spans="1:14" s="6" customFormat="1" ht="15" customHeight="1" x14ac:dyDescent="0.25">
      <c r="A964" s="33"/>
      <c r="B964" s="42"/>
      <c r="C964" s="498"/>
      <c r="D964" s="496"/>
      <c r="E964" s="331"/>
      <c r="F964" s="316"/>
      <c r="G964" s="331"/>
      <c r="H964" s="316"/>
      <c r="I964" s="331"/>
      <c r="J964" s="316"/>
      <c r="K964" s="331"/>
      <c r="L964" s="316"/>
      <c r="M964" s="7"/>
      <c r="N964" s="206"/>
    </row>
    <row r="965" spans="1:14" s="6" customFormat="1" ht="15" customHeight="1" x14ac:dyDescent="0.25">
      <c r="A965" s="33"/>
      <c r="B965" s="42"/>
      <c r="C965" s="383"/>
      <c r="D965" s="384"/>
      <c r="E965" s="331"/>
      <c r="F965" s="316"/>
      <c r="G965" s="331"/>
      <c r="H965" s="316"/>
      <c r="I965" s="331"/>
      <c r="J965" s="316"/>
      <c r="K965" s="331"/>
      <c r="L965" s="316"/>
      <c r="M965" s="7"/>
      <c r="N965" s="206"/>
    </row>
    <row r="966" spans="1:14" s="6" customFormat="1" ht="15" customHeight="1" x14ac:dyDescent="0.25">
      <c r="A966" s="33"/>
      <c r="B966" s="42"/>
      <c r="C966" s="317"/>
      <c r="D966" s="316"/>
      <c r="E966" s="331"/>
      <c r="F966" s="316"/>
      <c r="G966" s="331"/>
      <c r="H966" s="316"/>
      <c r="I966" s="331"/>
      <c r="J966" s="316"/>
      <c r="K966" s="331"/>
      <c r="L966" s="316"/>
      <c r="M966" s="7"/>
      <c r="N966" s="206"/>
    </row>
    <row r="967" spans="1:14" s="6" customFormat="1" ht="15" customHeight="1" x14ac:dyDescent="0.25">
      <c r="A967" s="33"/>
      <c r="B967" s="42"/>
      <c r="C967" s="317"/>
      <c r="D967" s="316"/>
      <c r="E967" s="331"/>
      <c r="F967" s="316"/>
      <c r="G967" s="331"/>
      <c r="H967" s="316"/>
      <c r="I967" s="331"/>
      <c r="J967" s="316"/>
      <c r="K967" s="331"/>
      <c r="L967" s="316"/>
      <c r="M967" s="7"/>
      <c r="N967" s="206"/>
    </row>
    <row r="968" spans="1:14" s="6" customFormat="1" ht="15" customHeight="1" x14ac:dyDescent="0.25">
      <c r="A968" s="33"/>
      <c r="B968" s="42"/>
      <c r="C968" s="318"/>
      <c r="D968" s="319"/>
      <c r="E968" s="380"/>
      <c r="F968" s="319"/>
      <c r="G968" s="381"/>
      <c r="H968" s="382"/>
      <c r="I968" s="380"/>
      <c r="J968" s="319"/>
      <c r="K968" s="380"/>
      <c r="L968" s="319"/>
      <c r="M968" s="7"/>
      <c r="N968" s="206"/>
    </row>
    <row r="969" spans="1:14" s="6" customFormat="1" ht="15" customHeight="1" x14ac:dyDescent="0.25">
      <c r="A969" s="33"/>
      <c r="B969" s="482" t="s">
        <v>28</v>
      </c>
      <c r="C969" s="210">
        <f>K962+3</f>
        <v>42667</v>
      </c>
      <c r="D969" s="222"/>
      <c r="E969" s="213">
        <f>C969+1</f>
        <v>42668</v>
      </c>
      <c r="F969" s="223"/>
      <c r="G969" s="213">
        <f>E969+1</f>
        <v>42669</v>
      </c>
      <c r="H969" s="222"/>
      <c r="I969" s="213">
        <f>G969+1</f>
        <v>42670</v>
      </c>
      <c r="J969" s="222"/>
      <c r="K969" s="213">
        <f>I969+1</f>
        <v>42671</v>
      </c>
      <c r="L969" s="222"/>
      <c r="M969" s="7"/>
      <c r="N969" s="206"/>
    </row>
    <row r="970" spans="1:14" s="6" customFormat="1" ht="15" customHeight="1" x14ac:dyDescent="0.25">
      <c r="A970" s="33"/>
      <c r="B970" s="482"/>
      <c r="C970" s="440"/>
      <c r="D970" s="456"/>
      <c r="E970" s="331"/>
      <c r="F970" s="316"/>
      <c r="G970" s="331"/>
      <c r="H970" s="316"/>
      <c r="I970" s="331"/>
      <c r="J970" s="316"/>
      <c r="K970" s="331"/>
      <c r="L970" s="316"/>
      <c r="M970" s="7"/>
      <c r="N970" s="206"/>
    </row>
    <row r="971" spans="1:14" s="6" customFormat="1" ht="15" customHeight="1" x14ac:dyDescent="0.25">
      <c r="A971" s="33"/>
      <c r="B971" s="482"/>
      <c r="C971" s="317"/>
      <c r="D971" s="316"/>
      <c r="E971" s="331"/>
      <c r="F971" s="316"/>
      <c r="G971" s="331"/>
      <c r="H971" s="316"/>
      <c r="I971" s="331"/>
      <c r="J971" s="316"/>
      <c r="K971" s="331"/>
      <c r="L971" s="316"/>
      <c r="M971" s="7"/>
      <c r="N971" s="206"/>
    </row>
    <row r="972" spans="1:14" s="6" customFormat="1" ht="15" customHeight="1" x14ac:dyDescent="0.25">
      <c r="A972" s="33"/>
      <c r="B972" s="482"/>
      <c r="C972" s="383"/>
      <c r="D972" s="384"/>
      <c r="E972" s="331"/>
      <c r="F972" s="316"/>
      <c r="G972" s="331"/>
      <c r="H972" s="316"/>
      <c r="I972" s="331"/>
      <c r="J972" s="316"/>
      <c r="K972" s="331"/>
      <c r="L972" s="316"/>
      <c r="M972" s="7"/>
      <c r="N972" s="206"/>
    </row>
    <row r="973" spans="1:14" s="6" customFormat="1" ht="15" customHeight="1" x14ac:dyDescent="0.25">
      <c r="A973" s="33"/>
      <c r="B973" s="482"/>
      <c r="C973" s="317"/>
      <c r="D973" s="316"/>
      <c r="E973" s="331"/>
      <c r="F973" s="316"/>
      <c r="G973" s="331"/>
      <c r="H973" s="316"/>
      <c r="I973" s="331"/>
      <c r="J973" s="316"/>
      <c r="K973" s="331"/>
      <c r="L973" s="316"/>
      <c r="M973" s="7"/>
      <c r="N973" s="206"/>
    </row>
    <row r="974" spans="1:14" s="6" customFormat="1" ht="15" customHeight="1" x14ac:dyDescent="0.25">
      <c r="A974" s="33"/>
      <c r="B974" s="482"/>
      <c r="C974" s="317"/>
      <c r="D974" s="316"/>
      <c r="E974" s="331"/>
      <c r="F974" s="316"/>
      <c r="G974" s="331"/>
      <c r="H974" s="316"/>
      <c r="I974" s="331"/>
      <c r="J974" s="316"/>
      <c r="K974" s="331"/>
      <c r="L974" s="316"/>
      <c r="M974" s="7"/>
      <c r="N974" s="206"/>
    </row>
    <row r="975" spans="1:14" s="6" customFormat="1" ht="15" customHeight="1" x14ac:dyDescent="0.25">
      <c r="A975" s="33"/>
      <c r="B975" s="482"/>
      <c r="C975" s="318"/>
      <c r="D975" s="319"/>
      <c r="E975" s="380"/>
      <c r="F975" s="319"/>
      <c r="G975" s="381"/>
      <c r="H975" s="382"/>
      <c r="I975" s="380"/>
      <c r="J975" s="319"/>
      <c r="K975" s="380"/>
      <c r="L975" s="319"/>
      <c r="M975" s="7"/>
      <c r="N975" s="206"/>
    </row>
    <row r="976" spans="1:14" s="6" customFormat="1" ht="15" customHeight="1" x14ac:dyDescent="0.25">
      <c r="A976" s="492"/>
      <c r="B976" s="482"/>
      <c r="C976" s="210">
        <f>K969+3</f>
        <v>42674</v>
      </c>
      <c r="D976" s="222"/>
      <c r="E976" s="213">
        <f>C976+1</f>
        <v>42675</v>
      </c>
      <c r="F976" s="223"/>
      <c r="G976" s="213">
        <f>E976+1</f>
        <v>42676</v>
      </c>
      <c r="H976" s="226"/>
      <c r="I976" s="213">
        <f>G976+1</f>
        <v>42677</v>
      </c>
      <c r="J976" s="222"/>
      <c r="K976" s="213">
        <f>I976+1</f>
        <v>42678</v>
      </c>
      <c r="L976" s="222"/>
      <c r="M976" s="7"/>
      <c r="N976" s="206"/>
    </row>
    <row r="977" spans="1:14" s="6" customFormat="1" ht="15" customHeight="1" x14ac:dyDescent="0.25">
      <c r="A977" s="492"/>
      <c r="B977" s="482"/>
      <c r="C977" s="476"/>
      <c r="D977" s="456"/>
      <c r="E977" s="331"/>
      <c r="F977" s="316"/>
      <c r="G977" s="331"/>
      <c r="H977" s="316"/>
      <c r="I977" s="331"/>
      <c r="J977" s="316"/>
      <c r="K977" s="331"/>
      <c r="L977" s="316"/>
      <c r="M977" s="7"/>
      <c r="N977" s="206"/>
    </row>
    <row r="978" spans="1:14" s="6" customFormat="1" ht="15" customHeight="1" x14ac:dyDescent="0.25">
      <c r="A978" s="492"/>
      <c r="B978" s="482"/>
      <c r="C978" s="331"/>
      <c r="D978" s="316"/>
      <c r="E978" s="331"/>
      <c r="F978" s="316"/>
      <c r="G978" s="331"/>
      <c r="H978" s="316"/>
      <c r="I978" s="331"/>
      <c r="J978" s="316"/>
      <c r="K978" s="331"/>
      <c r="L978" s="316"/>
      <c r="M978" s="7"/>
      <c r="N978" s="206"/>
    </row>
    <row r="979" spans="1:14" s="6" customFormat="1" ht="15" customHeight="1" x14ac:dyDescent="0.25">
      <c r="A979" s="492"/>
      <c r="B979" s="482"/>
      <c r="C979" s="386" t="s">
        <v>168</v>
      </c>
      <c r="D979" s="384"/>
      <c r="E979" s="331"/>
      <c r="F979" s="379"/>
      <c r="G979" s="331"/>
      <c r="H979" s="316"/>
      <c r="I979" s="331"/>
      <c r="J979" s="316"/>
      <c r="K979" s="331"/>
      <c r="L979" s="316"/>
      <c r="M979" s="7"/>
      <c r="N979" s="206"/>
    </row>
    <row r="980" spans="1:14" s="6" customFormat="1" ht="15" customHeight="1" x14ac:dyDescent="0.25">
      <c r="A980" s="492"/>
      <c r="B980" s="482"/>
      <c r="C980" s="331"/>
      <c r="D980" s="316"/>
      <c r="E980" s="331"/>
      <c r="F980" s="316"/>
      <c r="G980" s="459"/>
      <c r="H980" s="316"/>
      <c r="I980" s="331"/>
      <c r="J980" s="316"/>
      <c r="K980" s="331"/>
      <c r="L980" s="316"/>
      <c r="M980" s="7"/>
      <c r="N980" s="206"/>
    </row>
    <row r="981" spans="1:14" s="6" customFormat="1" ht="15" customHeight="1" x14ac:dyDescent="0.25">
      <c r="A981" s="492"/>
      <c r="B981" s="482"/>
      <c r="C981" s="331"/>
      <c r="D981" s="316"/>
      <c r="E981" s="331"/>
      <c r="F981" s="316"/>
      <c r="G981" s="331"/>
      <c r="H981" s="316"/>
      <c r="I981" s="331"/>
      <c r="J981" s="316"/>
      <c r="K981" s="331"/>
      <c r="L981" s="316"/>
      <c r="M981" s="7"/>
      <c r="N981" s="206"/>
    </row>
    <row r="982" spans="1:14" s="6" customFormat="1" ht="15" customHeight="1" x14ac:dyDescent="0.25">
      <c r="A982" s="492"/>
      <c r="B982" s="483"/>
      <c r="C982" s="380"/>
      <c r="D982" s="319"/>
      <c r="E982" s="380"/>
      <c r="F982" s="319"/>
      <c r="G982" s="381"/>
      <c r="H982" s="382"/>
      <c r="I982" s="462"/>
      <c r="J982" s="319"/>
      <c r="K982" s="462"/>
      <c r="L982" s="319"/>
      <c r="M982" s="7"/>
      <c r="N982" s="206"/>
    </row>
    <row r="983" spans="1:14" s="6" customFormat="1" ht="15" customHeight="1" x14ac:dyDescent="0.25">
      <c r="A983" s="33"/>
      <c r="B983" s="441"/>
      <c r="C983" s="210">
        <f>K976+3</f>
        <v>42681</v>
      </c>
      <c r="D983" s="226"/>
      <c r="E983" s="213">
        <f>C983+1</f>
        <v>42682</v>
      </c>
      <c r="F983" s="223" t="s">
        <v>27</v>
      </c>
      <c r="G983" s="213">
        <f>E983+1</f>
        <v>42683</v>
      </c>
      <c r="H983" s="222"/>
      <c r="I983" s="213">
        <f>G983+1</f>
        <v>42684</v>
      </c>
      <c r="J983" s="226"/>
      <c r="K983" s="213">
        <f>I983+1</f>
        <v>42685</v>
      </c>
      <c r="L983" s="226"/>
      <c r="M983" s="7"/>
      <c r="N983" s="206"/>
    </row>
    <row r="984" spans="1:14" s="6" customFormat="1" ht="15" customHeight="1" x14ac:dyDescent="0.25">
      <c r="A984" s="33"/>
      <c r="B984" s="429"/>
      <c r="C984" s="317"/>
      <c r="D984" s="316"/>
      <c r="E984" s="331"/>
      <c r="F984" s="316"/>
      <c r="G984" s="331"/>
      <c r="H984" s="316"/>
      <c r="I984" s="331"/>
      <c r="J984" s="316"/>
      <c r="K984" s="331"/>
      <c r="L984" s="316"/>
      <c r="M984" s="7"/>
      <c r="N984" s="206"/>
    </row>
    <row r="985" spans="1:14" s="6" customFormat="1" ht="15" customHeight="1" x14ac:dyDescent="0.25">
      <c r="A985" s="33"/>
      <c r="B985" s="429"/>
      <c r="C985" s="317"/>
      <c r="D985" s="316"/>
      <c r="E985" s="331"/>
      <c r="F985" s="316"/>
      <c r="G985" s="331"/>
      <c r="H985" s="316"/>
      <c r="I985" s="331"/>
      <c r="J985" s="316"/>
      <c r="K985" s="331"/>
      <c r="L985" s="316"/>
      <c r="M985" s="7"/>
      <c r="N985" s="206"/>
    </row>
    <row r="986" spans="1:14" s="6" customFormat="1" ht="15" customHeight="1" x14ac:dyDescent="0.25">
      <c r="A986" s="33"/>
      <c r="B986" s="429"/>
      <c r="C986" s="472" t="s">
        <v>168</v>
      </c>
      <c r="D986" s="384"/>
      <c r="E986" s="331"/>
      <c r="F986" s="316"/>
      <c r="G986" s="331"/>
      <c r="H986" s="316"/>
      <c r="I986" s="331"/>
      <c r="J986" s="316"/>
      <c r="K986" s="331"/>
      <c r="L986" s="316"/>
      <c r="M986" s="7"/>
      <c r="N986" s="206"/>
    </row>
    <row r="987" spans="1:14" s="6" customFormat="1" ht="15" customHeight="1" x14ac:dyDescent="0.25">
      <c r="A987" s="33"/>
      <c r="B987" s="429"/>
      <c r="C987" s="317"/>
      <c r="D987" s="316"/>
      <c r="E987" s="331"/>
      <c r="F987" s="316"/>
      <c r="G987" s="331"/>
      <c r="H987" s="316"/>
      <c r="I987" s="331"/>
      <c r="J987" s="316"/>
      <c r="K987" s="331"/>
      <c r="L987" s="316"/>
      <c r="M987" s="7"/>
      <c r="N987" s="206"/>
    </row>
    <row r="988" spans="1:14" s="6" customFormat="1" ht="15" customHeight="1" x14ac:dyDescent="0.25">
      <c r="A988" s="33"/>
      <c r="B988" s="429"/>
      <c r="C988" s="317"/>
      <c r="D988" s="316"/>
      <c r="E988" s="331"/>
      <c r="F988" s="316"/>
      <c r="G988" s="331"/>
      <c r="H988" s="316"/>
      <c r="I988" s="331"/>
      <c r="J988" s="316"/>
      <c r="K988" s="331"/>
      <c r="L988" s="316"/>
      <c r="M988" s="7"/>
      <c r="N988" s="206"/>
    </row>
    <row r="989" spans="1:14" s="6" customFormat="1" ht="15" customHeight="1" x14ac:dyDescent="0.25">
      <c r="A989" s="33"/>
      <c r="B989" s="429"/>
      <c r="C989" s="318"/>
      <c r="D989" s="319"/>
      <c r="E989" s="380"/>
      <c r="F989" s="319"/>
      <c r="G989" s="381"/>
      <c r="H989" s="382"/>
      <c r="I989" s="380"/>
      <c r="J989" s="319"/>
      <c r="K989" s="380"/>
      <c r="L989" s="319"/>
      <c r="M989" s="7"/>
      <c r="N989" s="206"/>
    </row>
    <row r="990" spans="1:14" s="6" customFormat="1" ht="15" customHeight="1" x14ac:dyDescent="0.25">
      <c r="A990" s="32"/>
      <c r="B990" s="40"/>
      <c r="C990" s="210">
        <f>K983+3</f>
        <v>42688</v>
      </c>
      <c r="D990" s="222"/>
      <c r="E990" s="213">
        <f>C990+1</f>
        <v>42689</v>
      </c>
      <c r="F990" s="227"/>
      <c r="G990" s="213">
        <f>E990+1</f>
        <v>42690</v>
      </c>
      <c r="H990" s="222"/>
      <c r="I990" s="213">
        <f>G990+1</f>
        <v>42691</v>
      </c>
      <c r="J990" s="222"/>
      <c r="K990" s="213">
        <f>I990+1</f>
        <v>42692</v>
      </c>
      <c r="L990" s="222"/>
      <c r="M990" s="7"/>
      <c r="N990" s="206"/>
    </row>
    <row r="991" spans="1:14" s="6" customFormat="1" ht="15" customHeight="1" x14ac:dyDescent="0.25">
      <c r="A991" s="32"/>
      <c r="B991" s="40"/>
      <c r="C991" s="317"/>
      <c r="D991" s="316"/>
      <c r="E991" s="331"/>
      <c r="F991" s="316"/>
      <c r="G991" s="331"/>
      <c r="H991" s="316"/>
      <c r="I991" s="331"/>
      <c r="J991" s="316"/>
      <c r="K991" s="331"/>
      <c r="L991" s="316"/>
      <c r="M991" s="7"/>
      <c r="N991" s="206"/>
    </row>
    <row r="992" spans="1:14" s="6" customFormat="1" ht="15" customHeight="1" x14ac:dyDescent="0.25">
      <c r="A992" s="32"/>
      <c r="B992" s="40"/>
      <c r="C992" s="317"/>
      <c r="D992" s="316"/>
      <c r="E992" s="331"/>
      <c r="F992" s="316"/>
      <c r="G992" s="331"/>
      <c r="H992" s="316"/>
      <c r="I992" s="331"/>
      <c r="J992" s="316"/>
      <c r="K992" s="331"/>
      <c r="L992" s="316"/>
      <c r="M992" s="7"/>
      <c r="N992" s="206"/>
    </row>
    <row r="993" spans="1:14" s="6" customFormat="1" ht="15" customHeight="1" x14ac:dyDescent="0.25">
      <c r="A993" s="32"/>
      <c r="B993" s="40"/>
      <c r="C993" s="383"/>
      <c r="D993" s="384"/>
      <c r="E993" s="331"/>
      <c r="F993" s="316"/>
      <c r="G993" s="331"/>
      <c r="H993" s="316"/>
      <c r="I993" s="331"/>
      <c r="J993" s="316"/>
      <c r="K993" s="331"/>
      <c r="L993" s="316"/>
      <c r="M993" s="7"/>
      <c r="N993" s="206"/>
    </row>
    <row r="994" spans="1:14" s="6" customFormat="1" ht="15" customHeight="1" x14ac:dyDescent="0.25">
      <c r="A994" s="32"/>
      <c r="B994" s="40"/>
      <c r="C994" s="317"/>
      <c r="D994" s="316"/>
      <c r="E994" s="331"/>
      <c r="F994" s="316"/>
      <c r="G994" s="331"/>
      <c r="H994" s="316"/>
      <c r="I994" s="331"/>
      <c r="J994" s="316"/>
      <c r="K994" s="331"/>
      <c r="L994" s="316"/>
      <c r="M994" s="7"/>
      <c r="N994" s="206"/>
    </row>
    <row r="995" spans="1:14" s="6" customFormat="1" ht="15" customHeight="1" x14ac:dyDescent="0.25">
      <c r="A995" s="32"/>
      <c r="B995" s="40"/>
      <c r="C995" s="317"/>
      <c r="D995" s="316"/>
      <c r="E995" s="331"/>
      <c r="F995" s="316"/>
      <c r="G995" s="331"/>
      <c r="H995" s="316"/>
      <c r="I995" s="331"/>
      <c r="J995" s="316"/>
      <c r="K995" s="331"/>
      <c r="L995" s="316"/>
      <c r="M995" s="7"/>
      <c r="N995" s="206"/>
    </row>
    <row r="996" spans="1:14" s="6" customFormat="1" ht="15" customHeight="1" x14ac:dyDescent="0.25">
      <c r="A996" s="32"/>
      <c r="B996" s="40"/>
      <c r="C996" s="318"/>
      <c r="D996" s="319"/>
      <c r="E996" s="380"/>
      <c r="F996" s="319"/>
      <c r="G996" s="381"/>
      <c r="H996" s="382"/>
      <c r="I996" s="380"/>
      <c r="J996" s="319"/>
      <c r="K996" s="380"/>
      <c r="L996" s="319"/>
      <c r="M996" s="7"/>
      <c r="N996" s="206"/>
    </row>
    <row r="997" spans="1:14" s="6" customFormat="1" ht="15" customHeight="1" x14ac:dyDescent="0.25">
      <c r="A997" s="32"/>
      <c r="B997" s="479" t="s">
        <v>26</v>
      </c>
      <c r="C997" s="210">
        <f>K990+3</f>
        <v>42695</v>
      </c>
      <c r="D997" s="222"/>
      <c r="E997" s="213">
        <f>C997+1</f>
        <v>42696</v>
      </c>
      <c r="F997" s="227"/>
      <c r="G997" s="213">
        <f>E997+1</f>
        <v>42697</v>
      </c>
      <c r="H997" s="226"/>
      <c r="I997" s="213">
        <f>G997+1</f>
        <v>42698</v>
      </c>
      <c r="J997" s="222" t="s">
        <v>149</v>
      </c>
      <c r="K997" s="213">
        <f>I997+1</f>
        <v>42699</v>
      </c>
      <c r="L997" s="222"/>
      <c r="M997" s="7"/>
      <c r="N997" s="206"/>
    </row>
    <row r="998" spans="1:14" s="6" customFormat="1" ht="15" customHeight="1" x14ac:dyDescent="0.25">
      <c r="A998" s="32"/>
      <c r="B998" s="479"/>
      <c r="C998" s="440"/>
      <c r="D998" s="456"/>
      <c r="E998" s="331"/>
      <c r="F998" s="316"/>
      <c r="G998" s="331"/>
      <c r="H998" s="316"/>
      <c r="I998" s="331"/>
      <c r="J998" s="316"/>
      <c r="K998" s="331"/>
      <c r="L998" s="316"/>
      <c r="M998" s="7"/>
      <c r="N998" s="206"/>
    </row>
    <row r="999" spans="1:14" s="6" customFormat="1" ht="15" customHeight="1" x14ac:dyDescent="0.25">
      <c r="A999" s="32"/>
      <c r="B999" s="479"/>
      <c r="C999" s="317"/>
      <c r="D999" s="316"/>
      <c r="E999" s="331"/>
      <c r="F999" s="316"/>
      <c r="G999" s="331"/>
      <c r="H999" s="316"/>
      <c r="I999" s="331"/>
      <c r="J999" s="316"/>
      <c r="K999" s="331"/>
      <c r="L999" s="316"/>
      <c r="M999" s="7"/>
      <c r="N999" s="206"/>
    </row>
    <row r="1000" spans="1:14" s="6" customFormat="1" ht="15" customHeight="1" x14ac:dyDescent="0.25">
      <c r="A1000" s="32"/>
      <c r="B1000" s="479"/>
      <c r="C1000" s="383"/>
      <c r="D1000" s="384"/>
      <c r="E1000" s="331"/>
      <c r="F1000" s="316"/>
      <c r="G1000" s="331"/>
      <c r="H1000" s="316"/>
      <c r="I1000" s="331"/>
      <c r="J1000" s="316"/>
      <c r="K1000" s="331"/>
      <c r="L1000" s="316"/>
      <c r="M1000" s="7"/>
      <c r="N1000" s="206"/>
    </row>
    <row r="1001" spans="1:14" s="6" customFormat="1" ht="15" customHeight="1" x14ac:dyDescent="0.25">
      <c r="A1001" s="32"/>
      <c r="B1001" s="479"/>
      <c r="C1001" s="317"/>
      <c r="D1001" s="316"/>
      <c r="E1001" s="331"/>
      <c r="F1001" s="316"/>
      <c r="G1001" s="331"/>
      <c r="H1001" s="316"/>
      <c r="I1001" s="331"/>
      <c r="J1001" s="316"/>
      <c r="K1001" s="331"/>
      <c r="L1001" s="316"/>
      <c r="M1001" s="7"/>
      <c r="N1001" s="206"/>
    </row>
    <row r="1002" spans="1:14" s="6" customFormat="1" ht="15" customHeight="1" x14ac:dyDescent="0.25">
      <c r="A1002" s="32"/>
      <c r="B1002" s="479"/>
      <c r="C1002" s="317"/>
      <c r="D1002" s="316"/>
      <c r="E1002" s="331"/>
      <c r="F1002" s="316"/>
      <c r="G1002" s="331"/>
      <c r="H1002" s="316"/>
      <c r="I1002" s="331"/>
      <c r="J1002" s="316"/>
      <c r="K1002" s="331"/>
      <c r="L1002" s="316"/>
      <c r="M1002" s="7"/>
      <c r="N1002" s="206"/>
    </row>
    <row r="1003" spans="1:14" s="6" customFormat="1" ht="15" customHeight="1" x14ac:dyDescent="0.25">
      <c r="A1003" s="32"/>
      <c r="B1003" s="479"/>
      <c r="C1003" s="318"/>
      <c r="D1003" s="319"/>
      <c r="E1003" s="380"/>
      <c r="F1003" s="319"/>
      <c r="G1003" s="381"/>
      <c r="H1003" s="382"/>
      <c r="I1003" s="380"/>
      <c r="J1003" s="319"/>
      <c r="K1003" s="380"/>
      <c r="L1003" s="319"/>
      <c r="M1003" s="7"/>
      <c r="N1003" s="206"/>
    </row>
    <row r="1004" spans="1:14" s="6" customFormat="1" ht="15" customHeight="1" x14ac:dyDescent="0.25">
      <c r="A1004" s="492"/>
      <c r="B1004" s="479"/>
      <c r="C1004" s="210">
        <f>K997+3</f>
        <v>42702</v>
      </c>
      <c r="D1004" s="222"/>
      <c r="E1004" s="213">
        <f>C1004+1</f>
        <v>42703</v>
      </c>
      <c r="F1004" s="223"/>
      <c r="G1004" s="213">
        <f>E1004+1</f>
        <v>42704</v>
      </c>
      <c r="H1004" s="222"/>
      <c r="I1004" s="213">
        <f>G1004+1</f>
        <v>42705</v>
      </c>
      <c r="J1004" s="222"/>
      <c r="K1004" s="213">
        <f>I1004+1</f>
        <v>42706</v>
      </c>
      <c r="L1004" s="222"/>
      <c r="M1004" s="7"/>
      <c r="N1004" s="206"/>
    </row>
    <row r="1005" spans="1:14" s="6" customFormat="1" ht="15" customHeight="1" x14ac:dyDescent="0.25">
      <c r="A1005" s="492"/>
      <c r="B1005" s="479"/>
      <c r="C1005" s="476"/>
      <c r="D1005" s="456"/>
      <c r="E1005" s="331"/>
      <c r="F1005" s="316"/>
      <c r="G1005" s="331"/>
      <c r="H1005" s="316"/>
      <c r="I1005" s="331"/>
      <c r="J1005" s="316"/>
      <c r="K1005" s="331"/>
      <c r="L1005" s="316"/>
      <c r="M1005" s="7"/>
      <c r="N1005" s="206"/>
    </row>
    <row r="1006" spans="1:14" s="6" customFormat="1" ht="15" customHeight="1" x14ac:dyDescent="0.25">
      <c r="A1006" s="492"/>
      <c r="B1006" s="479"/>
      <c r="C1006" s="331"/>
      <c r="D1006" s="316"/>
      <c r="E1006" s="331"/>
      <c r="F1006" s="316"/>
      <c r="G1006" s="331"/>
      <c r="H1006" s="316"/>
      <c r="I1006" s="331"/>
      <c r="J1006" s="316"/>
      <c r="K1006" s="331"/>
      <c r="L1006" s="316"/>
      <c r="M1006" s="7"/>
      <c r="N1006" s="206"/>
    </row>
    <row r="1007" spans="1:14" s="6" customFormat="1" ht="15" customHeight="1" x14ac:dyDescent="0.25">
      <c r="A1007" s="492"/>
      <c r="B1007" s="479"/>
      <c r="C1007" s="386"/>
      <c r="D1007" s="384"/>
      <c r="E1007" s="331"/>
      <c r="F1007" s="316"/>
      <c r="G1007" s="331"/>
      <c r="H1007" s="316"/>
      <c r="I1007" s="331"/>
      <c r="J1007" s="316"/>
      <c r="K1007" s="331"/>
      <c r="L1007" s="316"/>
      <c r="M1007" s="7"/>
      <c r="N1007" s="206"/>
    </row>
    <row r="1008" spans="1:14" s="6" customFormat="1" ht="15" customHeight="1" x14ac:dyDescent="0.25">
      <c r="A1008" s="492"/>
      <c r="B1008" s="479"/>
      <c r="C1008" s="331"/>
      <c r="D1008" s="316"/>
      <c r="E1008" s="331"/>
      <c r="F1008" s="316"/>
      <c r="G1008" s="331"/>
      <c r="H1008" s="316"/>
      <c r="I1008" s="331"/>
      <c r="J1008" s="316"/>
      <c r="K1008" s="331"/>
      <c r="L1008" s="316"/>
      <c r="M1008" s="7"/>
      <c r="N1008" s="206"/>
    </row>
    <row r="1009" spans="1:14" s="6" customFormat="1" ht="15" customHeight="1" x14ac:dyDescent="0.25">
      <c r="A1009" s="492"/>
      <c r="B1009" s="479"/>
      <c r="C1009" s="331"/>
      <c r="D1009" s="316"/>
      <c r="E1009" s="331"/>
      <c r="F1009" s="316"/>
      <c r="G1009" s="331"/>
      <c r="H1009" s="316"/>
      <c r="I1009" s="331"/>
      <c r="J1009" s="316"/>
      <c r="K1009" s="331"/>
      <c r="L1009" s="316"/>
      <c r="M1009" s="7"/>
      <c r="N1009" s="206"/>
    </row>
    <row r="1010" spans="1:14" s="6" customFormat="1" ht="15" customHeight="1" x14ac:dyDescent="0.25">
      <c r="A1010" s="492"/>
      <c r="B1010" s="480"/>
      <c r="C1010" s="380"/>
      <c r="D1010" s="319"/>
      <c r="E1010" s="380"/>
      <c r="F1010" s="319"/>
      <c r="G1010" s="381"/>
      <c r="H1010" s="382"/>
      <c r="I1010" s="380"/>
      <c r="J1010" s="319"/>
      <c r="K1010" s="380"/>
      <c r="L1010" s="319"/>
      <c r="M1010" s="7"/>
      <c r="N1010" s="206"/>
    </row>
    <row r="1011" spans="1:14" s="6" customFormat="1" ht="15" customHeight="1" x14ac:dyDescent="0.25">
      <c r="A1011" s="32"/>
      <c r="B1011" s="499"/>
      <c r="C1011" s="210">
        <f>K1004+3</f>
        <v>42709</v>
      </c>
      <c r="D1011" s="222"/>
      <c r="E1011" s="213">
        <f>C1011+1</f>
        <v>42710</v>
      </c>
      <c r="F1011" s="223"/>
      <c r="G1011" s="213">
        <f>E1011+1</f>
        <v>42711</v>
      </c>
      <c r="H1011" s="222"/>
      <c r="I1011" s="213">
        <f>G1011+1</f>
        <v>42712</v>
      </c>
      <c r="J1011" s="228"/>
      <c r="K1011" s="213">
        <f>I1011+1</f>
        <v>42713</v>
      </c>
      <c r="L1011" s="228"/>
      <c r="M1011" s="7"/>
      <c r="N1011" s="206"/>
    </row>
    <row r="1012" spans="1:14" s="6" customFormat="1" ht="15" customHeight="1" x14ac:dyDescent="0.25">
      <c r="A1012" s="32"/>
      <c r="B1012" s="500"/>
      <c r="C1012" s="317"/>
      <c r="D1012" s="316"/>
      <c r="E1012" s="331"/>
      <c r="F1012" s="316"/>
      <c r="G1012" s="331"/>
      <c r="H1012" s="316"/>
      <c r="I1012" s="331"/>
      <c r="J1012" s="316"/>
      <c r="K1012" s="331"/>
      <c r="L1012" s="316"/>
      <c r="M1012" s="7"/>
      <c r="N1012" s="206"/>
    </row>
    <row r="1013" spans="1:14" s="6" customFormat="1" ht="15" customHeight="1" x14ac:dyDescent="0.25">
      <c r="A1013" s="32"/>
      <c r="B1013" s="500"/>
      <c r="C1013" s="317"/>
      <c r="D1013" s="316"/>
      <c r="E1013" s="331"/>
      <c r="F1013" s="316"/>
      <c r="G1013" s="331"/>
      <c r="H1013" s="316"/>
      <c r="I1013" s="331"/>
      <c r="J1013" s="316"/>
      <c r="K1013" s="331"/>
      <c r="L1013" s="316"/>
      <c r="M1013" s="7"/>
      <c r="N1013" s="206"/>
    </row>
    <row r="1014" spans="1:14" s="6" customFormat="1" ht="15" customHeight="1" x14ac:dyDescent="0.25">
      <c r="A1014" s="32"/>
      <c r="B1014" s="500"/>
      <c r="C1014" s="383"/>
      <c r="D1014" s="384"/>
      <c r="E1014" s="331"/>
      <c r="F1014" s="316"/>
      <c r="G1014" s="331"/>
      <c r="H1014" s="316"/>
      <c r="I1014" s="386"/>
      <c r="J1014" s="316"/>
      <c r="K1014" s="386"/>
      <c r="L1014" s="316"/>
      <c r="M1014" s="7"/>
      <c r="N1014" s="206"/>
    </row>
    <row r="1015" spans="1:14" s="6" customFormat="1" ht="15" customHeight="1" x14ac:dyDescent="0.25">
      <c r="A1015" s="32"/>
      <c r="B1015" s="500"/>
      <c r="C1015" s="383" t="s">
        <v>168</v>
      </c>
      <c r="D1015" s="384"/>
      <c r="E1015" s="331"/>
      <c r="F1015" s="316"/>
      <c r="G1015" s="331"/>
      <c r="H1015" s="316"/>
      <c r="I1015" s="331"/>
      <c r="J1015" s="316"/>
      <c r="K1015" s="331"/>
      <c r="L1015" s="316"/>
      <c r="M1015" s="7"/>
      <c r="N1015" s="206"/>
    </row>
    <row r="1016" spans="1:14" s="6" customFormat="1" ht="15" customHeight="1" x14ac:dyDescent="0.25">
      <c r="A1016" s="32"/>
      <c r="B1016" s="500"/>
      <c r="C1016" s="383" t="s">
        <v>168</v>
      </c>
      <c r="D1016" s="384"/>
      <c r="E1016" s="331"/>
      <c r="F1016" s="316"/>
      <c r="G1016" s="331"/>
      <c r="H1016" s="316"/>
      <c r="I1016" s="331"/>
      <c r="J1016" s="316"/>
      <c r="K1016" s="331"/>
      <c r="L1016" s="316"/>
      <c r="M1016" s="7"/>
      <c r="N1016" s="206"/>
    </row>
    <row r="1017" spans="1:14" s="6" customFormat="1" ht="15" customHeight="1" x14ac:dyDescent="0.25">
      <c r="A1017" s="32"/>
      <c r="B1017" s="500"/>
      <c r="C1017" s="318"/>
      <c r="D1017" s="319"/>
      <c r="E1017" s="380"/>
      <c r="F1017" s="319"/>
      <c r="G1017" s="381"/>
      <c r="H1017" s="382"/>
      <c r="I1017" s="380"/>
      <c r="J1017" s="319"/>
      <c r="K1017" s="380"/>
      <c r="L1017" s="319"/>
      <c r="M1017" s="7"/>
      <c r="N1017" s="206"/>
    </row>
    <row r="1018" spans="1:14" s="6" customFormat="1" ht="15" customHeight="1" x14ac:dyDescent="0.25">
      <c r="A1018" s="32"/>
      <c r="B1018" s="43"/>
      <c r="C1018" s="210">
        <f>K1011+3</f>
        <v>42716</v>
      </c>
      <c r="D1018" s="222"/>
      <c r="E1018" s="213">
        <f>C1018+1</f>
        <v>42717</v>
      </c>
      <c r="F1018" s="223"/>
      <c r="G1018" s="213">
        <f>E1018+1</f>
        <v>42718</v>
      </c>
      <c r="H1018" s="222"/>
      <c r="I1018" s="213">
        <f>G1018+1</f>
        <v>42719</v>
      </c>
      <c r="J1018" s="226"/>
      <c r="K1018" s="213">
        <f>I1018+1</f>
        <v>42720</v>
      </c>
      <c r="L1018" s="226"/>
      <c r="M1018" s="7"/>
      <c r="N1018" s="206"/>
    </row>
    <row r="1019" spans="1:14" s="6" customFormat="1" ht="15" customHeight="1" x14ac:dyDescent="0.25">
      <c r="A1019" s="32"/>
      <c r="B1019" s="43"/>
      <c r="C1019" s="317"/>
      <c r="D1019" s="316"/>
      <c r="E1019" s="331"/>
      <c r="F1019" s="316"/>
      <c r="G1019" s="331"/>
      <c r="H1019" s="316"/>
      <c r="I1019" s="331"/>
      <c r="J1019" s="316"/>
      <c r="K1019" s="331"/>
      <c r="L1019" s="316"/>
      <c r="M1019" s="7"/>
      <c r="N1019" s="206"/>
    </row>
    <row r="1020" spans="1:14" s="6" customFormat="1" ht="15" customHeight="1" x14ac:dyDescent="0.25">
      <c r="A1020" s="32"/>
      <c r="B1020" s="43"/>
      <c r="C1020" s="317"/>
      <c r="D1020" s="316"/>
      <c r="E1020" s="331"/>
      <c r="F1020" s="316"/>
      <c r="G1020" s="331"/>
      <c r="H1020" s="316"/>
      <c r="I1020" s="331"/>
      <c r="J1020" s="316"/>
      <c r="K1020" s="331"/>
      <c r="L1020" s="316"/>
      <c r="M1020" s="7"/>
      <c r="N1020" s="206"/>
    </row>
    <row r="1021" spans="1:14" s="6" customFormat="1" ht="15" customHeight="1" x14ac:dyDescent="0.25">
      <c r="A1021" s="32"/>
      <c r="B1021" s="43"/>
      <c r="C1021" s="383"/>
      <c r="D1021" s="384"/>
      <c r="E1021" s="331"/>
      <c r="F1021" s="316"/>
      <c r="G1021" s="378"/>
      <c r="H1021" s="379"/>
      <c r="I1021" s="331"/>
      <c r="J1021" s="316"/>
      <c r="K1021" s="331"/>
      <c r="L1021" s="316"/>
      <c r="M1021" s="7"/>
      <c r="N1021" s="206"/>
    </row>
    <row r="1022" spans="1:14" s="6" customFormat="1" ht="15" customHeight="1" x14ac:dyDescent="0.25">
      <c r="A1022" s="32"/>
      <c r="B1022" s="43"/>
      <c r="C1022" s="317"/>
      <c r="D1022" s="316"/>
      <c r="E1022" s="331"/>
      <c r="F1022" s="316"/>
      <c r="G1022" s="331"/>
      <c r="H1022" s="316"/>
      <c r="I1022" s="331"/>
      <c r="J1022" s="316"/>
      <c r="K1022" s="331"/>
      <c r="L1022" s="316"/>
      <c r="M1022" s="7"/>
      <c r="N1022" s="206"/>
    </row>
    <row r="1023" spans="1:14" s="6" customFormat="1" ht="15" customHeight="1" x14ac:dyDescent="0.25">
      <c r="A1023" s="32"/>
      <c r="B1023" s="43"/>
      <c r="C1023" s="317"/>
      <c r="D1023" s="316"/>
      <c r="E1023" s="331"/>
      <c r="F1023" s="316"/>
      <c r="G1023" s="331"/>
      <c r="H1023" s="316"/>
      <c r="I1023" s="331"/>
      <c r="J1023" s="316"/>
      <c r="K1023" s="331"/>
      <c r="L1023" s="316"/>
      <c r="M1023" s="7"/>
      <c r="N1023" s="206"/>
    </row>
    <row r="1024" spans="1:14" s="6" customFormat="1" ht="15" customHeight="1" x14ac:dyDescent="0.25">
      <c r="A1024" s="32"/>
      <c r="B1024" s="43"/>
      <c r="C1024" s="318"/>
      <c r="D1024" s="319"/>
      <c r="E1024" s="380"/>
      <c r="F1024" s="319"/>
      <c r="G1024" s="381"/>
      <c r="H1024" s="382"/>
      <c r="I1024" s="380"/>
      <c r="J1024" s="319"/>
      <c r="K1024" s="380"/>
      <c r="L1024" s="319"/>
      <c r="M1024" s="7"/>
      <c r="N1024" s="206"/>
    </row>
    <row r="1025" spans="1:14" s="6" customFormat="1" ht="15" customHeight="1" x14ac:dyDescent="0.25">
      <c r="A1025" s="32"/>
      <c r="B1025" s="501" t="s">
        <v>25</v>
      </c>
      <c r="C1025" s="210">
        <f>K1018+3</f>
        <v>42723</v>
      </c>
      <c r="D1025" s="222"/>
      <c r="E1025" s="213">
        <f>C1025+1</f>
        <v>42724</v>
      </c>
      <c r="F1025" s="223"/>
      <c r="G1025" s="213">
        <f>E1025+1</f>
        <v>42725</v>
      </c>
      <c r="H1025" s="222"/>
      <c r="I1025" s="213">
        <f>G1025+1</f>
        <v>42726</v>
      </c>
      <c r="J1025" s="222"/>
      <c r="K1025" s="213">
        <f>I1025+1</f>
        <v>42727</v>
      </c>
      <c r="L1025" s="222"/>
      <c r="M1025" s="7"/>
      <c r="N1025" s="206"/>
    </row>
    <row r="1026" spans="1:14" s="6" customFormat="1" ht="15" customHeight="1" x14ac:dyDescent="0.25">
      <c r="A1026" s="32"/>
      <c r="B1026" s="502"/>
      <c r="C1026" s="440"/>
      <c r="D1026" s="456"/>
      <c r="E1026" s="331"/>
      <c r="F1026" s="316"/>
      <c r="G1026" s="331"/>
      <c r="H1026" s="316"/>
      <c r="I1026" s="331"/>
      <c r="J1026" s="316"/>
      <c r="K1026" s="331"/>
      <c r="L1026" s="316"/>
      <c r="M1026" s="7"/>
      <c r="N1026" s="206"/>
    </row>
    <row r="1027" spans="1:14" s="6" customFormat="1" ht="15" customHeight="1" x14ac:dyDescent="0.25">
      <c r="A1027" s="32"/>
      <c r="B1027" s="502"/>
      <c r="C1027" s="317"/>
      <c r="D1027" s="316"/>
      <c r="E1027" s="331"/>
      <c r="F1027" s="316"/>
      <c r="G1027" s="331"/>
      <c r="H1027" s="316"/>
      <c r="I1027" s="331"/>
      <c r="J1027" s="316"/>
      <c r="K1027" s="331"/>
      <c r="L1027" s="316"/>
      <c r="M1027" s="7"/>
      <c r="N1027" s="206"/>
    </row>
    <row r="1028" spans="1:14" s="6" customFormat="1" ht="15" customHeight="1" x14ac:dyDescent="0.25">
      <c r="A1028" s="32"/>
      <c r="B1028" s="502"/>
      <c r="C1028" s="383" t="s">
        <v>168</v>
      </c>
      <c r="D1028" s="384"/>
      <c r="E1028" s="331"/>
      <c r="F1028" s="316"/>
      <c r="G1028" s="331"/>
      <c r="H1028" s="316"/>
      <c r="I1028" s="331"/>
      <c r="J1028" s="316"/>
      <c r="K1028" s="331"/>
      <c r="L1028" s="316"/>
      <c r="M1028" s="7"/>
      <c r="N1028" s="206"/>
    </row>
    <row r="1029" spans="1:14" s="6" customFormat="1" ht="15" customHeight="1" x14ac:dyDescent="0.25">
      <c r="A1029" s="32"/>
      <c r="B1029" s="502"/>
      <c r="C1029" s="317"/>
      <c r="D1029" s="316"/>
      <c r="E1029" s="331"/>
      <c r="F1029" s="316"/>
      <c r="G1029" s="331"/>
      <c r="H1029" s="316"/>
      <c r="I1029" s="331"/>
      <c r="J1029" s="316"/>
      <c r="K1029" s="331"/>
      <c r="L1029" s="316"/>
      <c r="M1029" s="7"/>
      <c r="N1029" s="206"/>
    </row>
    <row r="1030" spans="1:14" s="6" customFormat="1" ht="15" customHeight="1" x14ac:dyDescent="0.25">
      <c r="A1030" s="32"/>
      <c r="B1030" s="502"/>
      <c r="C1030" s="317"/>
      <c r="D1030" s="316"/>
      <c r="E1030" s="331"/>
      <c r="F1030" s="316"/>
      <c r="G1030" s="331"/>
      <c r="H1030" s="316"/>
      <c r="I1030" s="331"/>
      <c r="J1030" s="316"/>
      <c r="K1030" s="331"/>
      <c r="L1030" s="316"/>
      <c r="M1030" s="7"/>
      <c r="N1030" s="206"/>
    </row>
    <row r="1031" spans="1:14" s="6" customFormat="1" ht="15" customHeight="1" x14ac:dyDescent="0.25">
      <c r="A1031" s="32"/>
      <c r="B1031" s="502"/>
      <c r="C1031" s="318"/>
      <c r="D1031" s="319"/>
      <c r="E1031" s="380"/>
      <c r="F1031" s="319"/>
      <c r="G1031" s="381"/>
      <c r="H1031" s="382"/>
      <c r="I1031" s="505"/>
      <c r="J1031" s="504"/>
      <c r="K1031" s="505"/>
      <c r="L1031" s="504"/>
      <c r="M1031" s="7"/>
      <c r="N1031" s="206"/>
    </row>
    <row r="1032" spans="1:14" s="6" customFormat="1" ht="15" customHeight="1" x14ac:dyDescent="0.25">
      <c r="A1032" s="492"/>
      <c r="B1032" s="502"/>
      <c r="C1032" s="210">
        <f>K1025+3</f>
        <v>42730</v>
      </c>
      <c r="D1032" s="229"/>
      <c r="E1032" s="213">
        <f>C1032+1</f>
        <v>42731</v>
      </c>
      <c r="F1032" s="223"/>
      <c r="G1032" s="213">
        <f>E1032+1</f>
        <v>42732</v>
      </c>
      <c r="H1032" s="222"/>
      <c r="I1032" s="213">
        <f>G1032+1</f>
        <v>42733</v>
      </c>
      <c r="J1032" s="226"/>
      <c r="K1032" s="213">
        <f>I1032+1</f>
        <v>42734</v>
      </c>
      <c r="L1032" s="226"/>
      <c r="M1032" s="7"/>
      <c r="N1032" s="206"/>
    </row>
    <row r="1033" spans="1:14" s="6" customFormat="1" ht="15" customHeight="1" x14ac:dyDescent="0.25">
      <c r="A1033" s="506"/>
      <c r="B1033" s="502"/>
      <c r="C1033" s="476"/>
      <c r="D1033" s="456"/>
      <c r="E1033" s="331"/>
      <c r="F1033" s="316"/>
      <c r="G1033" s="331"/>
      <c r="H1033" s="316"/>
      <c r="I1033" s="331"/>
      <c r="J1033" s="316"/>
      <c r="K1033" s="331"/>
      <c r="L1033" s="316"/>
      <c r="M1033" s="7"/>
      <c r="N1033" s="206"/>
    </row>
    <row r="1034" spans="1:14" s="6" customFormat="1" ht="15" customHeight="1" x14ac:dyDescent="0.25">
      <c r="A1034" s="506"/>
      <c r="B1034" s="502"/>
      <c r="C1034" s="331"/>
      <c r="D1034" s="316"/>
      <c r="E1034" s="331"/>
      <c r="F1034" s="316"/>
      <c r="G1034" s="331"/>
      <c r="H1034" s="316"/>
      <c r="I1034" s="331"/>
      <c r="J1034" s="316"/>
      <c r="K1034" s="331"/>
      <c r="L1034" s="316"/>
      <c r="M1034" s="7"/>
      <c r="N1034" s="206"/>
    </row>
    <row r="1035" spans="1:14" s="6" customFormat="1" ht="15" customHeight="1" x14ac:dyDescent="0.25">
      <c r="A1035" s="506"/>
      <c r="B1035" s="502"/>
      <c r="C1035" s="386"/>
      <c r="D1035" s="384"/>
      <c r="E1035" s="331"/>
      <c r="F1035" s="316"/>
      <c r="G1035" s="331"/>
      <c r="H1035" s="316"/>
      <c r="I1035" s="331"/>
      <c r="J1035" s="316"/>
      <c r="K1035" s="331"/>
      <c r="L1035" s="316"/>
      <c r="M1035" s="7"/>
      <c r="N1035" s="206"/>
    </row>
    <row r="1036" spans="1:14" s="6" customFormat="1" ht="15" customHeight="1" x14ac:dyDescent="0.25">
      <c r="A1036" s="506"/>
      <c r="B1036" s="502"/>
      <c r="C1036" s="331"/>
      <c r="D1036" s="316"/>
      <c r="E1036" s="331"/>
      <c r="F1036" s="316"/>
      <c r="G1036" s="331"/>
      <c r="H1036" s="316"/>
      <c r="I1036" s="331"/>
      <c r="J1036" s="316"/>
      <c r="K1036" s="331"/>
      <c r="L1036" s="316"/>
      <c r="M1036" s="7"/>
      <c r="N1036" s="206"/>
    </row>
    <row r="1037" spans="1:14" s="6" customFormat="1" ht="15" customHeight="1" x14ac:dyDescent="0.25">
      <c r="A1037" s="506"/>
      <c r="B1037" s="502"/>
      <c r="C1037" s="331"/>
      <c r="D1037" s="316"/>
      <c r="E1037" s="331"/>
      <c r="F1037" s="316"/>
      <c r="G1037" s="331"/>
      <c r="H1037" s="316"/>
      <c r="I1037" s="331"/>
      <c r="J1037" s="316"/>
      <c r="K1037" s="331"/>
      <c r="L1037" s="316"/>
      <c r="M1037" s="7"/>
      <c r="N1037" s="217"/>
    </row>
    <row r="1038" spans="1:14" s="6" customFormat="1" ht="15" customHeight="1" x14ac:dyDescent="0.25">
      <c r="A1038" s="506"/>
      <c r="B1038" s="503"/>
      <c r="C1038" s="505"/>
      <c r="D1038" s="504"/>
      <c r="E1038" s="380"/>
      <c r="F1038" s="319"/>
      <c r="G1038" s="381"/>
      <c r="H1038" s="382"/>
      <c r="I1038" s="380"/>
      <c r="J1038" s="319"/>
      <c r="K1038" s="380"/>
      <c r="L1038" s="319"/>
      <c r="M1038" s="7"/>
      <c r="N1038" s="217"/>
    </row>
    <row r="1039" spans="1:14" s="6" customFormat="1" ht="15" customHeight="1" x14ac:dyDescent="0.25">
      <c r="A1039" s="492"/>
      <c r="B1039" s="40"/>
      <c r="C1039" s="210">
        <f>K1032+3</f>
        <v>42737</v>
      </c>
      <c r="D1039" s="222"/>
      <c r="E1039" s="213">
        <f>C1039+1</f>
        <v>42738</v>
      </c>
      <c r="F1039" s="227"/>
      <c r="G1039" s="213">
        <f>E1039+1</f>
        <v>42739</v>
      </c>
      <c r="H1039" s="222"/>
      <c r="I1039" s="213">
        <f>G1039+1</f>
        <v>42740</v>
      </c>
      <c r="J1039" s="226"/>
      <c r="K1039" s="213">
        <f>I1039+1</f>
        <v>42741</v>
      </c>
      <c r="L1039" s="226"/>
      <c r="M1039" s="7"/>
      <c r="N1039" s="206"/>
    </row>
    <row r="1040" spans="1:14" s="6" customFormat="1" ht="15" customHeight="1" x14ac:dyDescent="0.25">
      <c r="A1040" s="506"/>
      <c r="B1040" s="40"/>
      <c r="C1040" s="476"/>
      <c r="D1040" s="456"/>
      <c r="E1040" s="331"/>
      <c r="F1040" s="316"/>
      <c r="G1040" s="331"/>
      <c r="H1040" s="316"/>
      <c r="I1040" s="331"/>
      <c r="J1040" s="316"/>
      <c r="K1040" s="331"/>
      <c r="L1040" s="316"/>
      <c r="M1040" s="7"/>
      <c r="N1040" s="206"/>
    </row>
    <row r="1041" spans="1:14" s="6" customFormat="1" ht="15" customHeight="1" x14ac:dyDescent="0.25">
      <c r="A1041" s="506"/>
      <c r="B1041" s="40"/>
      <c r="C1041" s="331"/>
      <c r="D1041" s="316"/>
      <c r="E1041" s="331"/>
      <c r="F1041" s="316"/>
      <c r="G1041" s="331"/>
      <c r="H1041" s="316"/>
      <c r="I1041" s="331"/>
      <c r="J1041" s="316"/>
      <c r="K1041" s="331"/>
      <c r="L1041" s="316"/>
      <c r="M1041" s="7"/>
      <c r="N1041" s="206"/>
    </row>
    <row r="1042" spans="1:14" s="6" customFormat="1" ht="15" customHeight="1" x14ac:dyDescent="0.25">
      <c r="A1042" s="506"/>
      <c r="B1042" s="40"/>
      <c r="C1042" s="386"/>
      <c r="D1042" s="384"/>
      <c r="E1042" s="331"/>
      <c r="F1042" s="316"/>
      <c r="G1042" s="331"/>
      <c r="H1042" s="316"/>
      <c r="I1042" s="331"/>
      <c r="J1042" s="316"/>
      <c r="K1042" s="331"/>
      <c r="L1042" s="316"/>
      <c r="M1042" s="7"/>
      <c r="N1042" s="206"/>
    </row>
    <row r="1043" spans="1:14" s="6" customFormat="1" ht="15" customHeight="1" x14ac:dyDescent="0.25">
      <c r="A1043" s="506"/>
      <c r="B1043" s="40"/>
      <c r="C1043" s="331"/>
      <c r="D1043" s="316"/>
      <c r="E1043" s="331"/>
      <c r="F1043" s="316"/>
      <c r="G1043" s="331"/>
      <c r="H1043" s="316"/>
      <c r="I1043" s="331"/>
      <c r="J1043" s="316"/>
      <c r="K1043" s="331"/>
      <c r="L1043" s="316"/>
      <c r="M1043" s="7"/>
      <c r="N1043" s="206"/>
    </row>
    <row r="1044" spans="1:14" s="6" customFormat="1" ht="15" customHeight="1" x14ac:dyDescent="0.25">
      <c r="A1044" s="506"/>
      <c r="B1044" s="40"/>
      <c r="C1044" s="331"/>
      <c r="D1044" s="316"/>
      <c r="E1044" s="331"/>
      <c r="F1044" s="316"/>
      <c r="G1044" s="331"/>
      <c r="H1044" s="316"/>
      <c r="I1044" s="331"/>
      <c r="J1044" s="316"/>
      <c r="K1044" s="331"/>
      <c r="L1044" s="316"/>
      <c r="M1044" s="7"/>
      <c r="N1044" s="206"/>
    </row>
    <row r="1045" spans="1:14" s="6" customFormat="1" ht="15" customHeight="1" x14ac:dyDescent="0.25">
      <c r="A1045" s="506"/>
      <c r="B1045" s="40"/>
      <c r="C1045" s="380"/>
      <c r="D1045" s="319"/>
      <c r="E1045" s="331"/>
      <c r="F1045" s="316"/>
      <c r="G1045" s="381"/>
      <c r="H1045" s="382"/>
      <c r="I1045" s="380"/>
      <c r="J1045" s="319"/>
      <c r="K1045" s="380"/>
      <c r="L1045" s="319"/>
      <c r="M1045" s="7"/>
      <c r="N1045" s="206"/>
    </row>
    <row r="1046" spans="1:14" s="6" customFormat="1" ht="15" customHeight="1" x14ac:dyDescent="0.25">
      <c r="A1046" s="32"/>
      <c r="B1046" s="507"/>
      <c r="C1046" s="210">
        <f>K1039+3</f>
        <v>42744</v>
      </c>
      <c r="D1046" s="222"/>
      <c r="E1046" s="213">
        <f>C1046+1</f>
        <v>42745</v>
      </c>
      <c r="F1046" s="223"/>
      <c r="G1046" s="213">
        <f>E1046+1</f>
        <v>42746</v>
      </c>
      <c r="H1046" s="222"/>
      <c r="I1046" s="213">
        <f>G1046+1</f>
        <v>42747</v>
      </c>
      <c r="J1046" s="222"/>
      <c r="K1046" s="213">
        <f>I1046+1</f>
        <v>42748</v>
      </c>
      <c r="L1046" s="222"/>
      <c r="M1046" s="7"/>
      <c r="N1046" s="206"/>
    </row>
    <row r="1047" spans="1:14" s="6" customFormat="1" ht="15" customHeight="1" x14ac:dyDescent="0.25">
      <c r="A1047" s="32"/>
      <c r="B1047" s="507"/>
      <c r="C1047" s="317"/>
      <c r="D1047" s="316"/>
      <c r="E1047" s="331"/>
      <c r="F1047" s="316"/>
      <c r="G1047" s="331"/>
      <c r="H1047" s="316"/>
      <c r="I1047" s="331"/>
      <c r="J1047" s="316"/>
      <c r="K1047" s="331"/>
      <c r="L1047" s="316"/>
      <c r="M1047" s="7"/>
      <c r="N1047" s="206"/>
    </row>
    <row r="1048" spans="1:14" s="6" customFormat="1" ht="15" customHeight="1" x14ac:dyDescent="0.25">
      <c r="A1048" s="32"/>
      <c r="B1048" s="507"/>
      <c r="C1048" s="317"/>
      <c r="D1048" s="316"/>
      <c r="E1048" s="331"/>
      <c r="F1048" s="316"/>
      <c r="G1048" s="331"/>
      <c r="H1048" s="316"/>
      <c r="I1048" s="331"/>
      <c r="J1048" s="316"/>
      <c r="K1048" s="331"/>
      <c r="L1048" s="316"/>
      <c r="M1048" s="7"/>
      <c r="N1048" s="206"/>
    </row>
    <row r="1049" spans="1:14" s="6" customFormat="1" ht="15" customHeight="1" x14ac:dyDescent="0.25">
      <c r="A1049" s="32"/>
      <c r="B1049" s="507"/>
      <c r="C1049" s="383"/>
      <c r="D1049" s="384"/>
      <c r="E1049" s="331"/>
      <c r="F1049" s="316"/>
      <c r="G1049" s="331"/>
      <c r="H1049" s="316"/>
      <c r="I1049" s="331"/>
      <c r="J1049" s="316"/>
      <c r="K1049" s="331"/>
      <c r="L1049" s="316"/>
      <c r="M1049" s="7"/>
      <c r="N1049" s="206"/>
    </row>
    <row r="1050" spans="1:14" s="6" customFormat="1" ht="15" customHeight="1" x14ac:dyDescent="0.25">
      <c r="A1050" s="32"/>
      <c r="B1050" s="507"/>
      <c r="C1050" s="317"/>
      <c r="D1050" s="316"/>
      <c r="E1050" s="331"/>
      <c r="F1050" s="316"/>
      <c r="G1050" s="331"/>
      <c r="H1050" s="316"/>
      <c r="I1050" s="331"/>
      <c r="J1050" s="316"/>
      <c r="K1050" s="331"/>
      <c r="L1050" s="316"/>
      <c r="M1050" s="7"/>
      <c r="N1050" s="206"/>
    </row>
    <row r="1051" spans="1:14" s="6" customFormat="1" ht="15" customHeight="1" x14ac:dyDescent="0.25">
      <c r="A1051" s="32"/>
      <c r="B1051" s="507"/>
      <c r="C1051" s="317"/>
      <c r="D1051" s="316"/>
      <c r="E1051" s="331"/>
      <c r="F1051" s="316"/>
      <c r="G1051" s="331"/>
      <c r="H1051" s="316"/>
      <c r="I1051" s="331"/>
      <c r="J1051" s="316"/>
      <c r="K1051" s="331"/>
      <c r="L1051" s="316"/>
      <c r="M1051" s="7"/>
      <c r="N1051" s="206"/>
    </row>
    <row r="1052" spans="1:14" s="6" customFormat="1" ht="15" customHeight="1" x14ac:dyDescent="0.25">
      <c r="A1052" s="32"/>
      <c r="B1052" s="507"/>
      <c r="C1052" s="318"/>
      <c r="D1052" s="319"/>
      <c r="E1052" s="380"/>
      <c r="F1052" s="319"/>
      <c r="G1052" s="381"/>
      <c r="H1052" s="382"/>
      <c r="I1052" s="380"/>
      <c r="J1052" s="319"/>
      <c r="K1052" s="380"/>
      <c r="L1052" s="319"/>
      <c r="M1052" s="7"/>
      <c r="N1052" s="206"/>
    </row>
    <row r="1053" spans="1:14" s="6" customFormat="1" ht="15" customHeight="1" x14ac:dyDescent="0.25">
      <c r="A1053" s="32"/>
      <c r="B1053" s="44"/>
      <c r="C1053" s="210">
        <f>K1046+3</f>
        <v>42751</v>
      </c>
      <c r="D1053" s="222"/>
      <c r="E1053" s="213">
        <f>C1053+1</f>
        <v>42752</v>
      </c>
      <c r="F1053" s="223"/>
      <c r="G1053" s="213">
        <f>E1053+1</f>
        <v>42753</v>
      </c>
      <c r="H1053" s="222"/>
      <c r="I1053" s="213">
        <f>G1053+1</f>
        <v>42754</v>
      </c>
      <c r="J1053" s="222"/>
      <c r="K1053" s="213">
        <f>I1053+1</f>
        <v>42755</v>
      </c>
      <c r="L1053" s="222"/>
      <c r="M1053" s="7"/>
      <c r="N1053" s="206"/>
    </row>
    <row r="1054" spans="1:14" s="6" customFormat="1" ht="15" customHeight="1" x14ac:dyDescent="0.25">
      <c r="A1054" s="32"/>
      <c r="B1054" s="44"/>
      <c r="C1054" s="317"/>
      <c r="D1054" s="316"/>
      <c r="E1054" s="331"/>
      <c r="F1054" s="316"/>
      <c r="G1054" s="331"/>
      <c r="H1054" s="316"/>
      <c r="I1054" s="331"/>
      <c r="J1054" s="316"/>
      <c r="K1054" s="331"/>
      <c r="L1054" s="316"/>
      <c r="M1054" s="7"/>
      <c r="N1054" s="206"/>
    </row>
    <row r="1055" spans="1:14" s="6" customFormat="1" ht="15" customHeight="1" x14ac:dyDescent="0.25">
      <c r="A1055" s="32"/>
      <c r="B1055" s="44"/>
      <c r="C1055" s="317"/>
      <c r="D1055" s="316"/>
      <c r="E1055" s="331"/>
      <c r="F1055" s="316"/>
      <c r="G1055" s="331"/>
      <c r="H1055" s="316"/>
      <c r="I1055" s="331"/>
      <c r="J1055" s="316"/>
      <c r="K1055" s="331"/>
      <c r="L1055" s="316"/>
      <c r="M1055" s="7"/>
      <c r="N1055" s="206"/>
    </row>
    <row r="1056" spans="1:14" s="6" customFormat="1" ht="15" customHeight="1" x14ac:dyDescent="0.25">
      <c r="A1056" s="32"/>
      <c r="B1056" s="44"/>
      <c r="C1056" s="383"/>
      <c r="D1056" s="384"/>
      <c r="E1056" s="331"/>
      <c r="F1056" s="316"/>
      <c r="G1056" s="331"/>
      <c r="H1056" s="316"/>
      <c r="I1056" s="331"/>
      <c r="J1056" s="316"/>
      <c r="K1056" s="331"/>
      <c r="L1056" s="316"/>
      <c r="M1056" s="7"/>
      <c r="N1056" s="206"/>
    </row>
    <row r="1057" spans="1:14" s="6" customFormat="1" ht="15" customHeight="1" x14ac:dyDescent="0.25">
      <c r="A1057" s="32"/>
      <c r="B1057" s="44"/>
      <c r="C1057" s="317"/>
      <c r="D1057" s="316"/>
      <c r="E1057" s="331"/>
      <c r="F1057" s="316"/>
      <c r="G1057" s="331"/>
      <c r="H1057" s="316"/>
      <c r="I1057" s="331"/>
      <c r="J1057" s="316"/>
      <c r="K1057" s="331"/>
      <c r="L1057" s="316"/>
      <c r="M1057" s="7"/>
      <c r="N1057" s="206"/>
    </row>
    <row r="1058" spans="1:14" s="6" customFormat="1" ht="15" customHeight="1" x14ac:dyDescent="0.25">
      <c r="A1058" s="32"/>
      <c r="B1058" s="44"/>
      <c r="C1058" s="317"/>
      <c r="D1058" s="316"/>
      <c r="E1058" s="331"/>
      <c r="F1058" s="316"/>
      <c r="G1058" s="331"/>
      <c r="H1058" s="316"/>
      <c r="I1058" s="331"/>
      <c r="J1058" s="316"/>
      <c r="K1058" s="331"/>
      <c r="L1058" s="316"/>
      <c r="M1058" s="7"/>
      <c r="N1058" s="206"/>
    </row>
    <row r="1059" spans="1:14" s="6" customFormat="1" ht="15" customHeight="1" x14ac:dyDescent="0.25">
      <c r="A1059" s="32"/>
      <c r="B1059" s="44"/>
      <c r="C1059" s="318"/>
      <c r="D1059" s="319"/>
      <c r="E1059" s="380"/>
      <c r="F1059" s="319"/>
      <c r="G1059" s="381"/>
      <c r="H1059" s="382"/>
      <c r="I1059" s="380"/>
      <c r="J1059" s="319"/>
      <c r="K1059" s="380"/>
      <c r="L1059" s="319"/>
      <c r="M1059" s="7"/>
      <c r="N1059" s="206"/>
    </row>
    <row r="1060" spans="1:14" s="6" customFormat="1" ht="15" customHeight="1" x14ac:dyDescent="0.25">
      <c r="A1060" s="32"/>
      <c r="B1060" s="508" t="s">
        <v>24</v>
      </c>
      <c r="C1060" s="210">
        <f>K1053+3</f>
        <v>42758</v>
      </c>
      <c r="D1060" s="222"/>
      <c r="E1060" s="213">
        <f>C1060+1</f>
        <v>42759</v>
      </c>
      <c r="F1060" s="223"/>
      <c r="G1060" s="213">
        <f>E1060+1</f>
        <v>42760</v>
      </c>
      <c r="H1060" s="222"/>
      <c r="I1060" s="213">
        <f>G1060+1</f>
        <v>42761</v>
      </c>
      <c r="J1060" s="222"/>
      <c r="K1060" s="213">
        <f>I1060+1</f>
        <v>42762</v>
      </c>
      <c r="L1060" s="222"/>
      <c r="M1060" s="7"/>
      <c r="N1060" s="206"/>
    </row>
    <row r="1061" spans="1:14" s="6" customFormat="1" ht="15" customHeight="1" x14ac:dyDescent="0.25">
      <c r="A1061" s="32"/>
      <c r="B1061" s="508"/>
      <c r="C1061" s="440"/>
      <c r="D1061" s="456"/>
      <c r="E1061" s="331"/>
      <c r="F1061" s="316"/>
      <c r="G1061" s="331"/>
      <c r="H1061" s="316"/>
      <c r="I1061" s="331"/>
      <c r="J1061" s="316"/>
      <c r="K1061" s="331"/>
      <c r="L1061" s="316"/>
      <c r="M1061" s="7"/>
      <c r="N1061" s="206"/>
    </row>
    <row r="1062" spans="1:14" s="6" customFormat="1" ht="15" customHeight="1" x14ac:dyDescent="0.25">
      <c r="A1062" s="32"/>
      <c r="B1062" s="508"/>
      <c r="C1062" s="317"/>
      <c r="D1062" s="316"/>
      <c r="E1062" s="331"/>
      <c r="F1062" s="316"/>
      <c r="G1062" s="331"/>
      <c r="H1062" s="316"/>
      <c r="I1062" s="331"/>
      <c r="J1062" s="316"/>
      <c r="K1062" s="331"/>
      <c r="L1062" s="316"/>
      <c r="M1062" s="7"/>
      <c r="N1062" s="206"/>
    </row>
    <row r="1063" spans="1:14" s="6" customFormat="1" ht="15" customHeight="1" x14ac:dyDescent="0.25">
      <c r="A1063" s="32"/>
      <c r="B1063" s="508"/>
      <c r="C1063" s="383"/>
      <c r="D1063" s="384"/>
      <c r="E1063" s="331"/>
      <c r="F1063" s="316"/>
      <c r="G1063" s="331"/>
      <c r="H1063" s="316"/>
      <c r="I1063" s="331"/>
      <c r="J1063" s="316"/>
      <c r="K1063" s="331"/>
      <c r="L1063" s="316"/>
      <c r="M1063" s="7"/>
      <c r="N1063" s="206"/>
    </row>
    <row r="1064" spans="1:14" s="6" customFormat="1" ht="15" customHeight="1" x14ac:dyDescent="0.25">
      <c r="A1064" s="32"/>
      <c r="B1064" s="508"/>
      <c r="C1064" s="317"/>
      <c r="D1064" s="316"/>
      <c r="E1064" s="331"/>
      <c r="F1064" s="316"/>
      <c r="G1064" s="331"/>
      <c r="H1064" s="316"/>
      <c r="I1064" s="331"/>
      <c r="J1064" s="316"/>
      <c r="K1064" s="331"/>
      <c r="L1064" s="316"/>
      <c r="M1064" s="7"/>
      <c r="N1064" s="206"/>
    </row>
    <row r="1065" spans="1:14" s="6" customFormat="1" ht="15" customHeight="1" x14ac:dyDescent="0.25">
      <c r="A1065" s="32"/>
      <c r="B1065" s="508"/>
      <c r="C1065" s="317"/>
      <c r="D1065" s="316"/>
      <c r="E1065" s="331"/>
      <c r="F1065" s="316"/>
      <c r="G1065" s="331"/>
      <c r="H1065" s="316"/>
      <c r="I1065" s="331"/>
      <c r="J1065" s="379"/>
      <c r="K1065" s="378"/>
      <c r="L1065" s="379"/>
      <c r="M1065" s="7"/>
      <c r="N1065" s="206"/>
    </row>
    <row r="1066" spans="1:14" s="6" customFormat="1" ht="15" customHeight="1" x14ac:dyDescent="0.25">
      <c r="A1066" s="32"/>
      <c r="B1066" s="508"/>
      <c r="C1066" s="318"/>
      <c r="D1066" s="319"/>
      <c r="E1066" s="380"/>
      <c r="F1066" s="319"/>
      <c r="G1066" s="381"/>
      <c r="H1066" s="382"/>
      <c r="I1066" s="380"/>
      <c r="J1066" s="319"/>
      <c r="K1066" s="380"/>
      <c r="L1066" s="319"/>
      <c r="M1066" s="7"/>
      <c r="N1066" s="206"/>
    </row>
    <row r="1067" spans="1:14" s="6" customFormat="1" ht="15" customHeight="1" x14ac:dyDescent="0.25">
      <c r="A1067" s="492"/>
      <c r="B1067" s="508"/>
      <c r="C1067" s="210">
        <f>K1060+3</f>
        <v>42765</v>
      </c>
      <c r="D1067" s="222"/>
      <c r="E1067" s="213">
        <f>C1067+1</f>
        <v>42766</v>
      </c>
      <c r="F1067" s="223"/>
      <c r="G1067" s="213">
        <f>E1067+1</f>
        <v>42767</v>
      </c>
      <c r="H1067" s="222"/>
      <c r="I1067" s="213">
        <f>G1067+1</f>
        <v>42768</v>
      </c>
      <c r="J1067" s="222"/>
      <c r="K1067" s="213">
        <f>I1067+1</f>
        <v>42769</v>
      </c>
      <c r="L1067" s="222"/>
      <c r="M1067" s="7"/>
      <c r="N1067" s="206"/>
    </row>
    <row r="1068" spans="1:14" s="6" customFormat="1" ht="15" customHeight="1" x14ac:dyDescent="0.25">
      <c r="A1068" s="506"/>
      <c r="B1068" s="508"/>
      <c r="C1068" s="476"/>
      <c r="D1068" s="456"/>
      <c r="E1068" s="331"/>
      <c r="F1068" s="316"/>
      <c r="G1068" s="331"/>
      <c r="H1068" s="316"/>
      <c r="I1068" s="331"/>
      <c r="J1068" s="316"/>
      <c r="K1068" s="331"/>
      <c r="L1068" s="316"/>
      <c r="M1068" s="7"/>
      <c r="N1068" s="206"/>
    </row>
    <row r="1069" spans="1:14" s="6" customFormat="1" ht="15" customHeight="1" x14ac:dyDescent="0.25">
      <c r="A1069" s="506"/>
      <c r="B1069" s="508"/>
      <c r="C1069" s="331"/>
      <c r="D1069" s="379"/>
      <c r="E1069" s="331"/>
      <c r="F1069" s="316"/>
      <c r="G1069" s="331"/>
      <c r="H1069" s="316"/>
      <c r="I1069" s="331"/>
      <c r="J1069" s="316"/>
      <c r="K1069" s="331"/>
      <c r="L1069" s="316"/>
      <c r="M1069" s="7"/>
      <c r="N1069" s="206"/>
    </row>
    <row r="1070" spans="1:14" s="6" customFormat="1" ht="15" customHeight="1" x14ac:dyDescent="0.25">
      <c r="A1070" s="506"/>
      <c r="B1070" s="508"/>
      <c r="C1070" s="386"/>
      <c r="D1070" s="384"/>
      <c r="E1070" s="331"/>
      <c r="F1070" s="316"/>
      <c r="G1070" s="331"/>
      <c r="H1070" s="316"/>
      <c r="I1070" s="331"/>
      <c r="J1070" s="316"/>
      <c r="K1070" s="331"/>
      <c r="L1070" s="316"/>
      <c r="M1070" s="7"/>
      <c r="N1070" s="206"/>
    </row>
    <row r="1071" spans="1:14" s="6" customFormat="1" ht="15" customHeight="1" x14ac:dyDescent="0.25">
      <c r="A1071" s="506"/>
      <c r="B1071" s="508"/>
      <c r="C1071" s="331"/>
      <c r="D1071" s="316"/>
      <c r="E1071" s="331"/>
      <c r="F1071" s="316"/>
      <c r="G1071" s="331"/>
      <c r="H1071" s="316"/>
      <c r="I1071" s="331"/>
      <c r="J1071" s="316"/>
      <c r="K1071" s="331"/>
      <c r="L1071" s="316"/>
      <c r="M1071" s="7"/>
      <c r="N1071" s="206"/>
    </row>
    <row r="1072" spans="1:14" s="6" customFormat="1" ht="15" customHeight="1" x14ac:dyDescent="0.25">
      <c r="A1072" s="506"/>
      <c r="B1072" s="508"/>
      <c r="C1072" s="331"/>
      <c r="D1072" s="316"/>
      <c r="E1072" s="331"/>
      <c r="F1072" s="316"/>
      <c r="G1072" s="331"/>
      <c r="H1072" s="316"/>
      <c r="I1072" s="331"/>
      <c r="J1072" s="316"/>
      <c r="K1072" s="331"/>
      <c r="L1072" s="316"/>
      <c r="M1072" s="7"/>
      <c r="N1072" s="217"/>
    </row>
    <row r="1073" spans="1:14" s="6" customFormat="1" ht="15" customHeight="1" x14ac:dyDescent="0.25">
      <c r="A1073" s="506"/>
      <c r="B1073" s="45"/>
      <c r="C1073" s="380"/>
      <c r="D1073" s="319"/>
      <c r="E1073" s="380"/>
      <c r="F1073" s="319"/>
      <c r="G1073" s="381"/>
      <c r="H1073" s="382"/>
      <c r="I1073" s="380"/>
      <c r="J1073" s="319"/>
      <c r="K1073" s="380"/>
      <c r="L1073" s="319"/>
      <c r="M1073" s="7"/>
      <c r="N1073" s="217"/>
    </row>
    <row r="1074" spans="1:14" s="6" customFormat="1" ht="15" customHeight="1" x14ac:dyDescent="0.25">
      <c r="A1074" s="492"/>
      <c r="B1074" s="46"/>
      <c r="C1074" s="210">
        <f>K1067+3</f>
        <v>42772</v>
      </c>
      <c r="D1074" s="222"/>
      <c r="E1074" s="213">
        <f>C1074+1</f>
        <v>42773</v>
      </c>
      <c r="F1074" s="223"/>
      <c r="G1074" s="213">
        <f>E1074+1</f>
        <v>42774</v>
      </c>
      <c r="H1074" s="222"/>
      <c r="I1074" s="213">
        <f>G1074+1</f>
        <v>42775</v>
      </c>
      <c r="J1074" s="222"/>
      <c r="K1074" s="213">
        <f>I1074+1</f>
        <v>42776</v>
      </c>
      <c r="L1074" s="222"/>
      <c r="M1074" s="7"/>
      <c r="N1074" s="206"/>
    </row>
    <row r="1075" spans="1:14" s="6" customFormat="1" ht="15" customHeight="1" x14ac:dyDescent="0.25">
      <c r="A1075" s="506"/>
      <c r="B1075" s="46"/>
      <c r="C1075" s="476"/>
      <c r="D1075" s="456"/>
      <c r="E1075" s="331"/>
      <c r="F1075" s="316"/>
      <c r="G1075" s="331"/>
      <c r="H1075" s="316"/>
      <c r="I1075" s="331"/>
      <c r="J1075" s="316"/>
      <c r="K1075" s="331"/>
      <c r="L1075" s="316"/>
      <c r="M1075" s="7"/>
      <c r="N1075" s="206"/>
    </row>
    <row r="1076" spans="1:14" s="6" customFormat="1" ht="15" customHeight="1" x14ac:dyDescent="0.25">
      <c r="A1076" s="506"/>
      <c r="B1076" s="46"/>
      <c r="C1076" s="331"/>
      <c r="D1076" s="316"/>
      <c r="E1076" s="331"/>
      <c r="F1076" s="316"/>
      <c r="G1076" s="331"/>
      <c r="H1076" s="316"/>
      <c r="I1076" s="331"/>
      <c r="J1076" s="316"/>
      <c r="K1076" s="331"/>
      <c r="L1076" s="316"/>
      <c r="M1076" s="7"/>
      <c r="N1076" s="206"/>
    </row>
    <row r="1077" spans="1:14" s="6" customFormat="1" ht="15" customHeight="1" x14ac:dyDescent="0.25">
      <c r="A1077" s="506"/>
      <c r="B1077" s="46"/>
      <c r="C1077" s="386"/>
      <c r="D1077" s="384"/>
      <c r="E1077" s="331"/>
      <c r="F1077" s="316"/>
      <c r="G1077" s="331"/>
      <c r="H1077" s="316"/>
      <c r="I1077" s="331"/>
      <c r="J1077" s="316"/>
      <c r="K1077" s="331"/>
      <c r="L1077" s="316"/>
      <c r="M1077" s="7"/>
      <c r="N1077" s="206"/>
    </row>
    <row r="1078" spans="1:14" s="6" customFormat="1" ht="15" customHeight="1" x14ac:dyDescent="0.25">
      <c r="A1078" s="506"/>
      <c r="B1078" s="46"/>
      <c r="C1078" s="331"/>
      <c r="D1078" s="316"/>
      <c r="E1078" s="331"/>
      <c r="F1078" s="316"/>
      <c r="G1078" s="331"/>
      <c r="H1078" s="316"/>
      <c r="I1078" s="331"/>
      <c r="J1078" s="316"/>
      <c r="K1078" s="331"/>
      <c r="L1078" s="316"/>
      <c r="M1078" s="7"/>
      <c r="N1078" s="206"/>
    </row>
    <row r="1079" spans="1:14" s="6" customFormat="1" ht="15" customHeight="1" x14ac:dyDescent="0.25">
      <c r="A1079" s="506"/>
      <c r="B1079" s="46"/>
      <c r="C1079" s="331"/>
      <c r="D1079" s="316"/>
      <c r="E1079" s="331"/>
      <c r="F1079" s="316"/>
      <c r="G1079" s="331"/>
      <c r="H1079" s="316"/>
      <c r="I1079" s="331"/>
      <c r="J1079" s="316"/>
      <c r="K1079" s="331"/>
      <c r="L1079" s="316"/>
      <c r="M1079" s="7"/>
      <c r="N1079" s="206"/>
    </row>
    <row r="1080" spans="1:14" s="6" customFormat="1" ht="15" customHeight="1" x14ac:dyDescent="0.25">
      <c r="A1080" s="506"/>
      <c r="B1080" s="46"/>
      <c r="C1080" s="380"/>
      <c r="D1080" s="319"/>
      <c r="E1080" s="380"/>
      <c r="F1080" s="319"/>
      <c r="G1080" s="381"/>
      <c r="H1080" s="382"/>
      <c r="I1080" s="380"/>
      <c r="J1080" s="319"/>
      <c r="K1080" s="380"/>
      <c r="L1080" s="319"/>
      <c r="M1080" s="7"/>
      <c r="N1080" s="206"/>
    </row>
    <row r="1081" spans="1:14" s="6" customFormat="1" ht="15" customHeight="1" x14ac:dyDescent="0.25">
      <c r="A1081" s="32"/>
      <c r="B1081" s="434"/>
      <c r="C1081" s="210">
        <f>K1074+3</f>
        <v>42779</v>
      </c>
      <c r="D1081" s="222"/>
      <c r="E1081" s="213">
        <f>C1081+1</f>
        <v>42780</v>
      </c>
      <c r="F1081" s="223"/>
      <c r="G1081" s="213">
        <f>E1081+1</f>
        <v>42781</v>
      </c>
      <c r="H1081" s="222"/>
      <c r="I1081" s="213">
        <f>G1081+1</f>
        <v>42782</v>
      </c>
      <c r="J1081" s="222"/>
      <c r="K1081" s="213">
        <f>I1081+1</f>
        <v>42783</v>
      </c>
      <c r="L1081" s="222"/>
      <c r="M1081" s="7"/>
      <c r="N1081" s="206"/>
    </row>
    <row r="1082" spans="1:14" s="6" customFormat="1" ht="15" customHeight="1" x14ac:dyDescent="0.25">
      <c r="A1082" s="32"/>
      <c r="B1082" s="434"/>
      <c r="C1082" s="331"/>
      <c r="D1082" s="316"/>
      <c r="E1082" s="331"/>
      <c r="F1082" s="316"/>
      <c r="G1082" s="331"/>
      <c r="H1082" s="316"/>
      <c r="I1082" s="331"/>
      <c r="J1082" s="316"/>
      <c r="K1082" s="331"/>
      <c r="L1082" s="316"/>
      <c r="M1082" s="7"/>
      <c r="N1082" s="206"/>
    </row>
    <row r="1083" spans="1:14" s="6" customFormat="1" ht="15" customHeight="1" x14ac:dyDescent="0.25">
      <c r="A1083" s="32"/>
      <c r="B1083" s="434"/>
      <c r="C1083" s="386"/>
      <c r="D1083" s="384"/>
      <c r="E1083" s="331"/>
      <c r="F1083" s="316"/>
      <c r="G1083" s="331"/>
      <c r="H1083" s="316"/>
      <c r="I1083" s="331"/>
      <c r="J1083" s="316"/>
      <c r="K1083" s="331"/>
      <c r="L1083" s="316"/>
      <c r="M1083" s="7"/>
      <c r="N1083" s="206"/>
    </row>
    <row r="1084" spans="1:14" s="6" customFormat="1" ht="15" customHeight="1" x14ac:dyDescent="0.25">
      <c r="A1084" s="32"/>
      <c r="B1084" s="434"/>
      <c r="C1084" s="331"/>
      <c r="D1084" s="316"/>
      <c r="E1084" s="331"/>
      <c r="F1084" s="316"/>
      <c r="G1084" s="331"/>
      <c r="H1084" s="316"/>
      <c r="I1084" s="331"/>
      <c r="J1084" s="316"/>
      <c r="K1084" s="331"/>
      <c r="L1084" s="316"/>
      <c r="M1084" s="7"/>
      <c r="N1084" s="206"/>
    </row>
    <row r="1085" spans="1:14" s="6" customFormat="1" ht="15" customHeight="1" x14ac:dyDescent="0.25">
      <c r="A1085" s="32"/>
      <c r="B1085" s="434"/>
      <c r="C1085" s="331"/>
      <c r="D1085" s="316"/>
      <c r="E1085" s="331"/>
      <c r="F1085" s="316"/>
      <c r="G1085" s="331"/>
      <c r="H1085" s="316"/>
      <c r="I1085" s="331"/>
      <c r="J1085" s="316"/>
      <c r="K1085" s="331"/>
      <c r="L1085" s="316"/>
      <c r="M1085" s="7"/>
      <c r="N1085" s="206"/>
    </row>
    <row r="1086" spans="1:14" s="6" customFormat="1" ht="15" customHeight="1" x14ac:dyDescent="0.25">
      <c r="A1086" s="32"/>
      <c r="B1086" s="434"/>
      <c r="C1086" s="331"/>
      <c r="D1086" s="316"/>
      <c r="E1086" s="331"/>
      <c r="F1086" s="316"/>
      <c r="G1086" s="331"/>
      <c r="H1086" s="316"/>
      <c r="I1086" s="331"/>
      <c r="J1086" s="316"/>
      <c r="K1086" s="331"/>
      <c r="L1086" s="316"/>
      <c r="M1086" s="7"/>
      <c r="N1086" s="206"/>
    </row>
    <row r="1087" spans="1:14" s="6" customFormat="1" ht="15" customHeight="1" x14ac:dyDescent="0.25">
      <c r="A1087" s="32"/>
      <c r="B1087" s="434"/>
      <c r="C1087" s="318"/>
      <c r="D1087" s="319"/>
      <c r="E1087" s="380"/>
      <c r="F1087" s="319"/>
      <c r="G1087" s="381"/>
      <c r="H1087" s="382"/>
      <c r="I1087" s="380"/>
      <c r="J1087" s="319"/>
      <c r="K1087" s="380"/>
      <c r="L1087" s="319"/>
      <c r="M1087" s="7"/>
      <c r="N1087" s="206"/>
    </row>
    <row r="1088" spans="1:14" s="6" customFormat="1" ht="15" customHeight="1" x14ac:dyDescent="0.25">
      <c r="A1088" s="32"/>
      <c r="B1088" s="501" t="s">
        <v>23</v>
      </c>
      <c r="C1088" s="210">
        <f>K1081+3</f>
        <v>42786</v>
      </c>
      <c r="D1088" s="222"/>
      <c r="E1088" s="213">
        <f>C1088+1</f>
        <v>42787</v>
      </c>
      <c r="F1088" s="223"/>
      <c r="G1088" s="213">
        <f>E1088+1</f>
        <v>42788</v>
      </c>
      <c r="H1088" s="222"/>
      <c r="I1088" s="213">
        <f>G1088+1</f>
        <v>42789</v>
      </c>
      <c r="J1088" s="222"/>
      <c r="K1088" s="213">
        <f>I1088+1</f>
        <v>42790</v>
      </c>
      <c r="L1088" s="222"/>
      <c r="M1088" s="7"/>
      <c r="N1088" s="206"/>
    </row>
    <row r="1089" spans="1:14" s="6" customFormat="1" ht="15" customHeight="1" x14ac:dyDescent="0.25">
      <c r="A1089" s="32"/>
      <c r="B1089" s="501"/>
      <c r="C1089" s="317"/>
      <c r="D1089" s="316"/>
      <c r="E1089" s="331"/>
      <c r="F1089" s="316"/>
      <c r="G1089" s="331"/>
      <c r="H1089" s="316"/>
      <c r="I1089" s="331"/>
      <c r="J1089" s="316"/>
      <c r="K1089" s="331"/>
      <c r="L1089" s="316"/>
      <c r="M1089" s="7"/>
      <c r="N1089" s="206"/>
    </row>
    <row r="1090" spans="1:14" s="6" customFormat="1" ht="15" customHeight="1" x14ac:dyDescent="0.25">
      <c r="A1090" s="32"/>
      <c r="B1090" s="501"/>
      <c r="C1090" s="317"/>
      <c r="D1090" s="316"/>
      <c r="E1090" s="331"/>
      <c r="F1090" s="316"/>
      <c r="G1090" s="331"/>
      <c r="H1090" s="316"/>
      <c r="I1090" s="331"/>
      <c r="J1090" s="316"/>
      <c r="K1090" s="331"/>
      <c r="L1090" s="316"/>
      <c r="M1090" s="7"/>
      <c r="N1090" s="206"/>
    </row>
    <row r="1091" spans="1:14" s="6" customFormat="1" ht="15" customHeight="1" x14ac:dyDescent="0.25">
      <c r="A1091" s="32"/>
      <c r="B1091" s="501"/>
      <c r="C1091" s="383"/>
      <c r="D1091" s="384"/>
      <c r="E1091" s="331"/>
      <c r="F1091" s="316"/>
      <c r="G1091" s="331"/>
      <c r="H1091" s="316"/>
      <c r="I1091" s="331"/>
      <c r="J1091" s="316"/>
      <c r="K1091" s="331"/>
      <c r="L1091" s="316"/>
      <c r="M1091" s="7"/>
      <c r="N1091" s="206"/>
    </row>
    <row r="1092" spans="1:14" s="6" customFormat="1" ht="15" customHeight="1" x14ac:dyDescent="0.25">
      <c r="A1092" s="32"/>
      <c r="B1092" s="501"/>
      <c r="C1092" s="317"/>
      <c r="D1092" s="379"/>
      <c r="E1092" s="331"/>
      <c r="F1092" s="316"/>
      <c r="G1092" s="331"/>
      <c r="H1092" s="316"/>
      <c r="I1092" s="331"/>
      <c r="J1092" s="316"/>
      <c r="K1092" s="331"/>
      <c r="L1092" s="316"/>
      <c r="M1092" s="7"/>
      <c r="N1092" s="206"/>
    </row>
    <row r="1093" spans="1:14" s="6" customFormat="1" ht="15" customHeight="1" x14ac:dyDescent="0.25">
      <c r="A1093" s="32"/>
      <c r="B1093" s="501"/>
      <c r="C1093" s="317"/>
      <c r="D1093" s="316"/>
      <c r="E1093" s="331"/>
      <c r="F1093" s="316"/>
      <c r="G1093" s="331"/>
      <c r="H1093" s="316"/>
      <c r="I1093" s="331"/>
      <c r="J1093" s="316"/>
      <c r="K1093" s="331"/>
      <c r="L1093" s="316"/>
      <c r="M1093" s="7"/>
      <c r="N1093" s="206"/>
    </row>
    <row r="1094" spans="1:14" s="6" customFormat="1" ht="15" customHeight="1" x14ac:dyDescent="0.25">
      <c r="A1094" s="32"/>
      <c r="B1094" s="501"/>
      <c r="C1094" s="318"/>
      <c r="D1094" s="319"/>
      <c r="E1094" s="380"/>
      <c r="F1094" s="319"/>
      <c r="G1094" s="381"/>
      <c r="H1094" s="382"/>
      <c r="I1094" s="380"/>
      <c r="J1094" s="319"/>
      <c r="K1094" s="380"/>
      <c r="L1094" s="319"/>
      <c r="M1094" s="7"/>
      <c r="N1094" s="206"/>
    </row>
    <row r="1095" spans="1:14" s="6" customFormat="1" ht="15" customHeight="1" x14ac:dyDescent="0.25">
      <c r="A1095" s="32"/>
      <c r="B1095" s="501"/>
      <c r="C1095" s="210">
        <f>K1088+3</f>
        <v>42793</v>
      </c>
      <c r="D1095" s="222"/>
      <c r="E1095" s="213">
        <f>C1095+1</f>
        <v>42794</v>
      </c>
      <c r="F1095" s="223"/>
      <c r="G1095" s="213">
        <f>E1095+1</f>
        <v>42795</v>
      </c>
      <c r="H1095" s="222"/>
      <c r="I1095" s="213">
        <f>G1095+1</f>
        <v>42796</v>
      </c>
      <c r="J1095" s="222"/>
      <c r="K1095" s="213">
        <f>I1095+1</f>
        <v>42797</v>
      </c>
      <c r="L1095" s="222"/>
      <c r="M1095" s="7"/>
      <c r="N1095" s="206"/>
    </row>
    <row r="1096" spans="1:14" s="6" customFormat="1" ht="15" customHeight="1" x14ac:dyDescent="0.25">
      <c r="A1096" s="32"/>
      <c r="B1096" s="501"/>
      <c r="C1096" s="440"/>
      <c r="D1096" s="456"/>
      <c r="E1096" s="331"/>
      <c r="F1096" s="316"/>
      <c r="G1096" s="331"/>
      <c r="H1096" s="316"/>
      <c r="I1096" s="331"/>
      <c r="J1096" s="316"/>
      <c r="K1096" s="331"/>
      <c r="L1096" s="316"/>
      <c r="M1096" s="7"/>
      <c r="N1096" s="206"/>
    </row>
    <row r="1097" spans="1:14" s="6" customFormat="1" ht="15" customHeight="1" x14ac:dyDescent="0.25">
      <c r="A1097" s="32"/>
      <c r="B1097" s="501"/>
      <c r="C1097" s="317"/>
      <c r="D1097" s="316"/>
      <c r="E1097" s="331"/>
      <c r="F1097" s="316"/>
      <c r="G1097" s="331"/>
      <c r="H1097" s="316"/>
      <c r="I1097" s="331"/>
      <c r="J1097" s="316"/>
      <c r="K1097" s="331"/>
      <c r="L1097" s="316"/>
      <c r="M1097" s="7"/>
      <c r="N1097" s="206"/>
    </row>
    <row r="1098" spans="1:14" s="6" customFormat="1" ht="15" customHeight="1" x14ac:dyDescent="0.25">
      <c r="A1098" s="32"/>
      <c r="B1098" s="501"/>
      <c r="C1098" s="383"/>
      <c r="D1098" s="384"/>
      <c r="E1098" s="331"/>
      <c r="F1098" s="379"/>
      <c r="G1098" s="331"/>
      <c r="H1098" s="316"/>
      <c r="I1098" s="331"/>
      <c r="J1098" s="316"/>
      <c r="K1098" s="331"/>
      <c r="L1098" s="316"/>
      <c r="M1098" s="7"/>
      <c r="N1098" s="206"/>
    </row>
    <row r="1099" spans="1:14" s="6" customFormat="1" ht="15" customHeight="1" x14ac:dyDescent="0.25">
      <c r="A1099" s="32"/>
      <c r="B1099" s="501"/>
      <c r="C1099" s="317"/>
      <c r="D1099" s="316"/>
      <c r="E1099" s="331"/>
      <c r="F1099" s="379"/>
      <c r="G1099" s="331"/>
      <c r="H1099" s="316"/>
      <c r="I1099" s="331"/>
      <c r="J1099" s="316"/>
      <c r="K1099" s="331"/>
      <c r="L1099" s="316"/>
      <c r="M1099" s="7"/>
      <c r="N1099" s="206"/>
    </row>
    <row r="1100" spans="1:14" s="6" customFormat="1" ht="15" customHeight="1" x14ac:dyDescent="0.25">
      <c r="A1100" s="32"/>
      <c r="B1100" s="501"/>
      <c r="C1100" s="317"/>
      <c r="D1100" s="316"/>
      <c r="E1100" s="331"/>
      <c r="F1100" s="316"/>
      <c r="G1100" s="331"/>
      <c r="H1100" s="316"/>
      <c r="I1100" s="331"/>
      <c r="J1100" s="316"/>
      <c r="K1100" s="331"/>
      <c r="L1100" s="316"/>
      <c r="M1100" s="7"/>
      <c r="N1100" s="206"/>
    </row>
    <row r="1101" spans="1:14" s="6" customFormat="1" ht="15" customHeight="1" x14ac:dyDescent="0.25">
      <c r="A1101" s="32"/>
      <c r="B1101" s="47"/>
      <c r="C1101" s="318"/>
      <c r="D1101" s="319"/>
      <c r="E1101" s="380"/>
      <c r="F1101" s="319"/>
      <c r="G1101" s="381"/>
      <c r="H1101" s="382"/>
      <c r="I1101" s="380"/>
      <c r="J1101" s="319"/>
      <c r="K1101" s="380"/>
      <c r="L1101" s="319"/>
      <c r="M1101" s="7"/>
      <c r="N1101" s="206"/>
    </row>
    <row r="1102" spans="1:14" s="6" customFormat="1" ht="15" customHeight="1" x14ac:dyDescent="0.25">
      <c r="A1102" s="492"/>
      <c r="B1102" s="509"/>
      <c r="C1102" s="210">
        <f>K1095+3</f>
        <v>42800</v>
      </c>
      <c r="D1102" s="222"/>
      <c r="E1102" s="213">
        <f>C1102+1</f>
        <v>42801</v>
      </c>
      <c r="F1102" s="223"/>
      <c r="G1102" s="213">
        <f>E1102+1</f>
        <v>42802</v>
      </c>
      <c r="H1102" s="222"/>
      <c r="I1102" s="213">
        <f>G1102+1</f>
        <v>42803</v>
      </c>
      <c r="J1102" s="222"/>
      <c r="K1102" s="213">
        <f>I1102+1</f>
        <v>42804</v>
      </c>
      <c r="L1102" s="222"/>
      <c r="M1102" s="7"/>
      <c r="N1102" s="206"/>
    </row>
    <row r="1103" spans="1:14" s="6" customFormat="1" ht="15" customHeight="1" x14ac:dyDescent="0.25">
      <c r="A1103" s="506"/>
      <c r="B1103" s="509"/>
      <c r="C1103" s="476"/>
      <c r="D1103" s="456"/>
      <c r="E1103" s="331"/>
      <c r="F1103" s="316"/>
      <c r="G1103" s="331"/>
      <c r="H1103" s="316"/>
      <c r="I1103" s="331"/>
      <c r="J1103" s="316"/>
      <c r="K1103" s="331"/>
      <c r="L1103" s="316"/>
      <c r="M1103" s="7"/>
      <c r="N1103" s="206"/>
    </row>
    <row r="1104" spans="1:14" s="6" customFormat="1" ht="15" customHeight="1" x14ac:dyDescent="0.25">
      <c r="A1104" s="506"/>
      <c r="B1104" s="509"/>
      <c r="C1104" s="386"/>
      <c r="D1104" s="384"/>
      <c r="E1104" s="331"/>
      <c r="F1104" s="316"/>
      <c r="G1104" s="331"/>
      <c r="H1104" s="316"/>
      <c r="I1104" s="331"/>
      <c r="J1104" s="316"/>
      <c r="K1104" s="331"/>
      <c r="L1104" s="316"/>
      <c r="M1104" s="7"/>
      <c r="N1104" s="206"/>
    </row>
    <row r="1105" spans="1:14" s="6" customFormat="1" ht="15" customHeight="1" x14ac:dyDescent="0.25">
      <c r="A1105" s="506"/>
      <c r="B1105" s="509"/>
      <c r="C1105" s="386"/>
      <c r="D1105" s="384"/>
      <c r="E1105" s="331"/>
      <c r="F1105" s="316"/>
      <c r="G1105" s="331"/>
      <c r="H1105" s="316"/>
      <c r="I1105" s="331"/>
      <c r="J1105" s="379"/>
      <c r="K1105" s="378"/>
      <c r="L1105" s="379"/>
      <c r="M1105" s="7"/>
      <c r="N1105" s="206"/>
    </row>
    <row r="1106" spans="1:14" s="6" customFormat="1" ht="15" customHeight="1" x14ac:dyDescent="0.25">
      <c r="A1106" s="506"/>
      <c r="B1106" s="509"/>
      <c r="C1106" s="331"/>
      <c r="D1106" s="316"/>
      <c r="E1106" s="331"/>
      <c r="F1106" s="316"/>
      <c r="G1106" s="331"/>
      <c r="H1106" s="316"/>
      <c r="I1106" s="331"/>
      <c r="J1106" s="316"/>
      <c r="K1106" s="331"/>
      <c r="L1106" s="316"/>
      <c r="M1106" s="7"/>
      <c r="N1106" s="206"/>
    </row>
    <row r="1107" spans="1:14" s="6" customFormat="1" ht="15" customHeight="1" x14ac:dyDescent="0.25">
      <c r="A1107" s="506"/>
      <c r="B1107" s="509"/>
      <c r="C1107" s="331"/>
      <c r="D1107" s="316"/>
      <c r="E1107" s="331"/>
      <c r="F1107" s="316"/>
      <c r="G1107" s="331"/>
      <c r="H1107" s="316"/>
      <c r="I1107" s="331"/>
      <c r="J1107" s="316"/>
      <c r="K1107" s="331"/>
      <c r="L1107" s="316"/>
      <c r="M1107" s="7"/>
      <c r="N1107" s="217"/>
    </row>
    <row r="1108" spans="1:14" s="6" customFormat="1" ht="15" customHeight="1" x14ac:dyDescent="0.25">
      <c r="A1108" s="506"/>
      <c r="B1108" s="509"/>
      <c r="C1108" s="380"/>
      <c r="D1108" s="319"/>
      <c r="E1108" s="380"/>
      <c r="F1108" s="319"/>
      <c r="G1108" s="381"/>
      <c r="H1108" s="382"/>
      <c r="I1108" s="380"/>
      <c r="J1108" s="319"/>
      <c r="K1108" s="380"/>
      <c r="L1108" s="319"/>
      <c r="M1108" s="7"/>
      <c r="N1108" s="217"/>
    </row>
    <row r="1109" spans="1:14" s="6" customFormat="1" ht="15" customHeight="1" x14ac:dyDescent="0.25">
      <c r="A1109" s="492"/>
      <c r="B1109" s="509"/>
      <c r="C1109" s="210">
        <f>K1102+3</f>
        <v>42807</v>
      </c>
      <c r="D1109" s="222"/>
      <c r="E1109" s="213">
        <f>C1109+1</f>
        <v>42808</v>
      </c>
      <c r="F1109" s="223"/>
      <c r="G1109" s="213">
        <f>E1109+1</f>
        <v>42809</v>
      </c>
      <c r="H1109" s="222"/>
      <c r="I1109" s="213">
        <f>G1109+1</f>
        <v>42810</v>
      </c>
      <c r="J1109" s="222"/>
      <c r="K1109" s="213">
        <f>I1109+1</f>
        <v>42811</v>
      </c>
      <c r="L1109" s="222"/>
      <c r="M1109" s="7"/>
      <c r="N1109" s="206"/>
    </row>
    <row r="1110" spans="1:14" s="6" customFormat="1" ht="15" customHeight="1" x14ac:dyDescent="0.25">
      <c r="A1110" s="506"/>
      <c r="B1110" s="509"/>
      <c r="C1110" s="476"/>
      <c r="D1110" s="456"/>
      <c r="E1110" s="331"/>
      <c r="F1110" s="316"/>
      <c r="G1110" s="331"/>
      <c r="H1110" s="316"/>
      <c r="I1110" s="331"/>
      <c r="J1110" s="316"/>
      <c r="K1110" s="331"/>
      <c r="L1110" s="316"/>
      <c r="M1110" s="7"/>
      <c r="N1110" s="206"/>
    </row>
    <row r="1111" spans="1:14" s="6" customFormat="1" ht="15" customHeight="1" x14ac:dyDescent="0.25">
      <c r="A1111" s="506"/>
      <c r="B1111" s="509"/>
      <c r="C1111" s="331"/>
      <c r="D1111" s="316"/>
      <c r="E1111" s="331"/>
      <c r="F1111" s="316"/>
      <c r="G1111" s="331"/>
      <c r="H1111" s="379"/>
      <c r="I1111" s="331"/>
      <c r="J1111" s="316"/>
      <c r="K1111" s="331"/>
      <c r="L1111" s="316"/>
      <c r="M1111" s="7"/>
      <c r="N1111" s="206"/>
    </row>
    <row r="1112" spans="1:14" s="6" customFormat="1" ht="15" customHeight="1" x14ac:dyDescent="0.25">
      <c r="A1112" s="506"/>
      <c r="B1112" s="509"/>
      <c r="C1112" s="386"/>
      <c r="D1112" s="384"/>
      <c r="E1112" s="331"/>
      <c r="F1112" s="316"/>
      <c r="G1112" s="331"/>
      <c r="H1112" s="316"/>
      <c r="I1112" s="331"/>
      <c r="J1112" s="316"/>
      <c r="K1112" s="331"/>
      <c r="L1112" s="316"/>
      <c r="M1112" s="7"/>
      <c r="N1112" s="206"/>
    </row>
    <row r="1113" spans="1:14" s="6" customFormat="1" ht="15" customHeight="1" x14ac:dyDescent="0.25">
      <c r="A1113" s="506"/>
      <c r="B1113" s="509"/>
      <c r="C1113" s="331"/>
      <c r="D1113" s="316"/>
      <c r="E1113" s="331"/>
      <c r="F1113" s="316"/>
      <c r="G1113" s="331"/>
      <c r="H1113" s="316"/>
      <c r="I1113" s="331"/>
      <c r="J1113" s="316"/>
      <c r="K1113" s="331"/>
      <c r="L1113" s="316"/>
      <c r="M1113" s="7"/>
      <c r="N1113" s="206"/>
    </row>
    <row r="1114" spans="1:14" s="6" customFormat="1" ht="15" customHeight="1" x14ac:dyDescent="0.25">
      <c r="A1114" s="506"/>
      <c r="B1114" s="509"/>
      <c r="C1114" s="331"/>
      <c r="D1114" s="316"/>
      <c r="E1114" s="331"/>
      <c r="F1114" s="316"/>
      <c r="G1114" s="331"/>
      <c r="H1114" s="316"/>
      <c r="I1114" s="331"/>
      <c r="J1114" s="316"/>
      <c r="K1114" s="331"/>
      <c r="L1114" s="316"/>
      <c r="M1114" s="7"/>
      <c r="N1114" s="206"/>
    </row>
    <row r="1115" spans="1:14" s="6" customFormat="1" ht="15" customHeight="1" x14ac:dyDescent="0.25">
      <c r="A1115" s="506"/>
      <c r="B1115" s="509"/>
      <c r="C1115" s="380"/>
      <c r="D1115" s="319"/>
      <c r="E1115" s="380"/>
      <c r="F1115" s="319"/>
      <c r="G1115" s="381"/>
      <c r="H1115" s="382"/>
      <c r="I1115" s="380"/>
      <c r="J1115" s="319"/>
      <c r="K1115" s="380"/>
      <c r="L1115" s="319"/>
      <c r="M1115" s="7"/>
      <c r="N1115" s="206"/>
    </row>
    <row r="1116" spans="1:14" s="6" customFormat="1" ht="15" customHeight="1" x14ac:dyDescent="0.25">
      <c r="A1116" s="32"/>
      <c r="B1116" s="508" t="s">
        <v>22</v>
      </c>
      <c r="C1116" s="210">
        <f>K1109+3</f>
        <v>42814</v>
      </c>
      <c r="D1116" s="222"/>
      <c r="E1116" s="213">
        <f>C1116+1</f>
        <v>42815</v>
      </c>
      <c r="F1116" s="223"/>
      <c r="G1116" s="213">
        <f>E1116+1</f>
        <v>42816</v>
      </c>
      <c r="H1116" s="222"/>
      <c r="I1116" s="213">
        <f>G1116+1</f>
        <v>42817</v>
      </c>
      <c r="J1116" s="222"/>
      <c r="K1116" s="213">
        <f>I1116+1</f>
        <v>42818</v>
      </c>
      <c r="L1116" s="222"/>
      <c r="M1116" s="7"/>
      <c r="N1116" s="206"/>
    </row>
    <row r="1117" spans="1:14" s="6" customFormat="1" ht="15" customHeight="1" x14ac:dyDescent="0.25">
      <c r="A1117" s="32"/>
      <c r="B1117" s="508"/>
      <c r="C1117" s="317"/>
      <c r="D1117" s="316"/>
      <c r="E1117" s="331"/>
      <c r="F1117" s="316"/>
      <c r="G1117" s="331"/>
      <c r="H1117" s="316"/>
      <c r="I1117" s="331"/>
      <c r="J1117" s="316"/>
      <c r="K1117" s="331"/>
      <c r="L1117" s="316"/>
      <c r="M1117" s="7"/>
      <c r="N1117" s="206"/>
    </row>
    <row r="1118" spans="1:14" s="6" customFormat="1" ht="15" customHeight="1" x14ac:dyDescent="0.25">
      <c r="A1118" s="32"/>
      <c r="B1118" s="508"/>
      <c r="C1118" s="317"/>
      <c r="D1118" s="316"/>
      <c r="E1118" s="331"/>
      <c r="F1118" s="316"/>
      <c r="G1118" s="331"/>
      <c r="H1118" s="316"/>
      <c r="I1118" s="331"/>
      <c r="J1118" s="316"/>
      <c r="K1118" s="331"/>
      <c r="L1118" s="316"/>
      <c r="M1118" s="7"/>
      <c r="N1118" s="206"/>
    </row>
    <row r="1119" spans="1:14" s="6" customFormat="1" ht="15" customHeight="1" x14ac:dyDescent="0.25">
      <c r="A1119" s="32"/>
      <c r="B1119" s="508"/>
      <c r="C1119" s="465"/>
      <c r="D1119" s="466"/>
      <c r="E1119" s="331"/>
      <c r="F1119" s="316"/>
      <c r="G1119" s="331"/>
      <c r="H1119" s="316"/>
      <c r="I1119" s="331"/>
      <c r="J1119" s="316"/>
      <c r="K1119" s="331"/>
      <c r="L1119" s="316"/>
      <c r="M1119" s="7"/>
      <c r="N1119" s="206"/>
    </row>
    <row r="1120" spans="1:14" s="6" customFormat="1" ht="15" customHeight="1" x14ac:dyDescent="0.25">
      <c r="A1120" s="32"/>
      <c r="B1120" s="508"/>
      <c r="C1120" s="317"/>
      <c r="D1120" s="316"/>
      <c r="E1120" s="331"/>
      <c r="F1120" s="316"/>
      <c r="G1120" s="331"/>
      <c r="H1120" s="316"/>
      <c r="I1120" s="331"/>
      <c r="J1120" s="316"/>
      <c r="K1120" s="331"/>
      <c r="L1120" s="316"/>
      <c r="M1120" s="7"/>
      <c r="N1120" s="206"/>
    </row>
    <row r="1121" spans="1:14" s="6" customFormat="1" ht="15" customHeight="1" x14ac:dyDescent="0.25">
      <c r="A1121" s="32"/>
      <c r="B1121" s="508"/>
      <c r="C1121" s="317"/>
      <c r="D1121" s="316"/>
      <c r="E1121" s="331"/>
      <c r="F1121" s="316"/>
      <c r="G1121" s="331"/>
      <c r="H1121" s="316"/>
      <c r="I1121" s="331"/>
      <c r="J1121" s="316"/>
      <c r="K1121" s="331"/>
      <c r="L1121" s="316"/>
      <c r="M1121" s="7"/>
      <c r="N1121" s="206"/>
    </row>
    <row r="1122" spans="1:14" s="6" customFormat="1" ht="15" customHeight="1" x14ac:dyDescent="0.25">
      <c r="A1122" s="32"/>
      <c r="B1122" s="508"/>
      <c r="C1122" s="318"/>
      <c r="D1122" s="319"/>
      <c r="E1122" s="380"/>
      <c r="F1122" s="319"/>
      <c r="G1122" s="381"/>
      <c r="H1122" s="382"/>
      <c r="I1122" s="380"/>
      <c r="J1122" s="319"/>
      <c r="K1122" s="380"/>
      <c r="L1122" s="319"/>
      <c r="M1122" s="7"/>
      <c r="N1122" s="206"/>
    </row>
    <row r="1123" spans="1:14" s="6" customFormat="1" ht="15" customHeight="1" x14ac:dyDescent="0.25">
      <c r="A1123" s="32"/>
      <c r="B1123" s="508"/>
      <c r="C1123" s="213">
        <f>K1116+3</f>
        <v>42821</v>
      </c>
      <c r="D1123" s="222"/>
      <c r="E1123" s="213">
        <f>C1123+1</f>
        <v>42822</v>
      </c>
      <c r="F1123" s="223"/>
      <c r="G1123" s="213">
        <f>E1123+1</f>
        <v>42823</v>
      </c>
      <c r="H1123" s="222"/>
      <c r="I1123" s="213">
        <f>G1123+1</f>
        <v>42824</v>
      </c>
      <c r="J1123" s="222"/>
      <c r="K1123" s="213">
        <f>I1123+1</f>
        <v>42825</v>
      </c>
      <c r="L1123" s="222"/>
      <c r="M1123" s="7"/>
      <c r="N1123" s="206"/>
    </row>
    <row r="1124" spans="1:14" s="6" customFormat="1" ht="15" customHeight="1" x14ac:dyDescent="0.25">
      <c r="A1124" s="32"/>
      <c r="B1124" s="508"/>
      <c r="C1124" s="317"/>
      <c r="D1124" s="316"/>
      <c r="E1124" s="331"/>
      <c r="F1124" s="316"/>
      <c r="G1124" s="331"/>
      <c r="H1124" s="316"/>
      <c r="I1124" s="331"/>
      <c r="J1124" s="316"/>
      <c r="K1124" s="331"/>
      <c r="L1124" s="316"/>
      <c r="M1124" s="7"/>
      <c r="N1124" s="206"/>
    </row>
    <row r="1125" spans="1:14" s="6" customFormat="1" ht="15" customHeight="1" x14ac:dyDescent="0.25">
      <c r="A1125" s="32"/>
      <c r="B1125" s="508"/>
      <c r="C1125" s="383"/>
      <c r="D1125" s="384"/>
      <c r="E1125" s="331"/>
      <c r="F1125" s="316"/>
      <c r="G1125" s="331"/>
      <c r="H1125" s="316"/>
      <c r="I1125" s="331"/>
      <c r="J1125" s="316"/>
      <c r="K1125" s="331"/>
      <c r="L1125" s="316"/>
      <c r="M1125" s="7"/>
      <c r="N1125" s="206"/>
    </row>
    <row r="1126" spans="1:14" s="6" customFormat="1" ht="15" customHeight="1" x14ac:dyDescent="0.25">
      <c r="A1126" s="32"/>
      <c r="B1126" s="508"/>
      <c r="C1126" s="383"/>
      <c r="D1126" s="384"/>
      <c r="E1126" s="331"/>
      <c r="F1126" s="316"/>
      <c r="G1126" s="331"/>
      <c r="H1126" s="316"/>
      <c r="I1126" s="331"/>
      <c r="J1126" s="316"/>
      <c r="K1126" s="331"/>
      <c r="L1126" s="316"/>
      <c r="M1126" s="7"/>
      <c r="N1126" s="206"/>
    </row>
    <row r="1127" spans="1:14" s="6" customFormat="1" ht="15" customHeight="1" x14ac:dyDescent="0.25">
      <c r="A1127" s="32"/>
      <c r="B1127" s="508"/>
      <c r="C1127" s="317"/>
      <c r="D1127" s="316"/>
      <c r="E1127" s="331"/>
      <c r="F1127" s="316"/>
      <c r="G1127" s="331"/>
      <c r="H1127" s="316"/>
      <c r="I1127" s="331"/>
      <c r="J1127" s="316"/>
      <c r="K1127" s="331"/>
      <c r="L1127" s="316"/>
      <c r="M1127" s="7"/>
      <c r="N1127" s="206"/>
    </row>
    <row r="1128" spans="1:14" s="6" customFormat="1" ht="15" customHeight="1" x14ac:dyDescent="0.25">
      <c r="A1128" s="32"/>
      <c r="B1128" s="508"/>
      <c r="C1128" s="317"/>
      <c r="D1128" s="316"/>
      <c r="E1128" s="331"/>
      <c r="F1128" s="316"/>
      <c r="G1128" s="331"/>
      <c r="H1128" s="316"/>
      <c r="I1128" s="331"/>
      <c r="J1128" s="316"/>
      <c r="K1128" s="331"/>
      <c r="L1128" s="316"/>
      <c r="M1128" s="7"/>
      <c r="N1128" s="206"/>
    </row>
    <row r="1129" spans="1:14" s="6" customFormat="1" ht="15" customHeight="1" x14ac:dyDescent="0.25">
      <c r="A1129" s="32"/>
      <c r="B1129" s="45"/>
      <c r="C1129" s="318"/>
      <c r="D1129" s="319"/>
      <c r="E1129" s="380"/>
      <c r="F1129" s="319"/>
      <c r="G1129" s="381"/>
      <c r="H1129" s="382"/>
      <c r="I1129" s="380"/>
      <c r="J1129" s="319"/>
      <c r="K1129" s="380"/>
      <c r="L1129" s="319"/>
      <c r="M1129" s="7"/>
      <c r="N1129" s="206"/>
    </row>
    <row r="1130" spans="1:14" s="6" customFormat="1" ht="15" customHeight="1" x14ac:dyDescent="0.25">
      <c r="A1130" s="492"/>
      <c r="B1130" s="510"/>
      <c r="C1130" s="210">
        <f>K1123+3</f>
        <v>42828</v>
      </c>
      <c r="D1130" s="222"/>
      <c r="E1130" s="213">
        <f>C1130+1</f>
        <v>42829</v>
      </c>
      <c r="F1130" s="223"/>
      <c r="G1130" s="213">
        <f>E1130+1</f>
        <v>42830</v>
      </c>
      <c r="H1130" s="222"/>
      <c r="I1130" s="213">
        <f>G1130+1</f>
        <v>42831</v>
      </c>
      <c r="J1130" s="222"/>
      <c r="K1130" s="213">
        <f>I1130+1</f>
        <v>42832</v>
      </c>
      <c r="L1130" s="222"/>
      <c r="M1130" s="7"/>
      <c r="N1130" s="206"/>
    </row>
    <row r="1131" spans="1:14" s="6" customFormat="1" ht="15" customHeight="1" x14ac:dyDescent="0.25">
      <c r="A1131" s="506"/>
      <c r="B1131" s="308"/>
      <c r="C1131" s="476"/>
      <c r="D1131" s="456"/>
      <c r="E1131" s="331"/>
      <c r="F1131" s="379"/>
      <c r="G1131" s="459"/>
      <c r="H1131" s="316"/>
      <c r="I1131" s="331"/>
      <c r="J1131" s="316"/>
      <c r="K1131" s="331"/>
      <c r="L1131" s="316"/>
      <c r="M1131" s="7"/>
      <c r="N1131" s="206"/>
    </row>
    <row r="1132" spans="1:14" s="6" customFormat="1" ht="15" customHeight="1" x14ac:dyDescent="0.25">
      <c r="A1132" s="506"/>
      <c r="B1132" s="308"/>
      <c r="C1132" s="331"/>
      <c r="D1132" s="316"/>
      <c r="E1132" s="331"/>
      <c r="F1132" s="316"/>
      <c r="G1132" s="331"/>
      <c r="H1132" s="316"/>
      <c r="I1132" s="331"/>
      <c r="J1132" s="316"/>
      <c r="K1132" s="331"/>
      <c r="L1132" s="316"/>
      <c r="M1132" s="7"/>
      <c r="N1132" s="206"/>
    </row>
    <row r="1133" spans="1:14" s="6" customFormat="1" ht="15" customHeight="1" x14ac:dyDescent="0.25">
      <c r="A1133" s="506"/>
      <c r="B1133" s="308"/>
      <c r="C1133" s="386" t="s">
        <v>168</v>
      </c>
      <c r="D1133" s="384"/>
      <c r="E1133" s="331"/>
      <c r="F1133" s="316"/>
      <c r="G1133" s="331"/>
      <c r="H1133" s="316"/>
      <c r="I1133" s="331"/>
      <c r="J1133" s="316"/>
      <c r="K1133" s="331"/>
      <c r="L1133" s="316"/>
      <c r="M1133" s="7"/>
      <c r="N1133" s="206"/>
    </row>
    <row r="1134" spans="1:14" s="6" customFormat="1" ht="15" customHeight="1" x14ac:dyDescent="0.25">
      <c r="A1134" s="506"/>
      <c r="B1134" s="308"/>
      <c r="C1134" s="331"/>
      <c r="D1134" s="316"/>
      <c r="E1134" s="331"/>
      <c r="F1134" s="316"/>
      <c r="G1134" s="331"/>
      <c r="H1134" s="316"/>
      <c r="I1134" s="331"/>
      <c r="J1134" s="316"/>
      <c r="K1134" s="331"/>
      <c r="L1134" s="316"/>
      <c r="M1134" s="7"/>
      <c r="N1134" s="206"/>
    </row>
    <row r="1135" spans="1:14" s="6" customFormat="1" ht="15" customHeight="1" x14ac:dyDescent="0.25">
      <c r="A1135" s="506"/>
      <c r="B1135" s="308"/>
      <c r="C1135" s="331"/>
      <c r="D1135" s="316"/>
      <c r="E1135" s="331"/>
      <c r="F1135" s="316"/>
      <c r="G1135" s="331"/>
      <c r="H1135" s="316"/>
      <c r="I1135" s="331"/>
      <c r="J1135" s="316"/>
      <c r="K1135" s="331"/>
      <c r="L1135" s="316"/>
      <c r="M1135" s="7"/>
      <c r="N1135" s="217"/>
    </row>
    <row r="1136" spans="1:14" s="6" customFormat="1" ht="43.5" customHeight="1" x14ac:dyDescent="0.25">
      <c r="A1136" s="506"/>
      <c r="B1136" s="308"/>
      <c r="C1136" s="380"/>
      <c r="D1136" s="319"/>
      <c r="E1136" s="380"/>
      <c r="F1136" s="319"/>
      <c r="G1136" s="381"/>
      <c r="H1136" s="382"/>
      <c r="I1136" s="380"/>
      <c r="J1136" s="319"/>
      <c r="K1136" s="380"/>
      <c r="L1136" s="319"/>
      <c r="M1136" s="7"/>
      <c r="N1136" s="217"/>
    </row>
    <row r="1137" spans="1:14" s="6" customFormat="1" ht="15" customHeight="1" x14ac:dyDescent="0.25">
      <c r="A1137" s="492"/>
      <c r="B1137" s="308"/>
      <c r="C1137" s="210">
        <f>K1130+3</f>
        <v>42835</v>
      </c>
      <c r="D1137" s="222"/>
      <c r="E1137" s="213">
        <f>C1137+1</f>
        <v>42836</v>
      </c>
      <c r="F1137" s="223"/>
      <c r="G1137" s="213">
        <f>E1137+1</f>
        <v>42837</v>
      </c>
      <c r="H1137" s="222"/>
      <c r="I1137" s="213">
        <f>G1137+1</f>
        <v>42838</v>
      </c>
      <c r="J1137" s="222"/>
      <c r="K1137" s="213">
        <f>I1137+1</f>
        <v>42839</v>
      </c>
      <c r="L1137" s="222"/>
      <c r="M1137" s="7"/>
      <c r="N1137" s="206"/>
    </row>
    <row r="1138" spans="1:14" s="6" customFormat="1" ht="15" customHeight="1" x14ac:dyDescent="0.25">
      <c r="A1138" s="506"/>
      <c r="B1138" s="308"/>
      <c r="C1138" s="476"/>
      <c r="D1138" s="456"/>
      <c r="E1138" s="331"/>
      <c r="F1138" s="316"/>
      <c r="G1138" s="451"/>
      <c r="H1138" s="433"/>
      <c r="I1138" s="331"/>
      <c r="J1138" s="316"/>
      <c r="K1138" s="331"/>
      <c r="L1138" s="316"/>
      <c r="M1138" s="7"/>
      <c r="N1138" s="206"/>
    </row>
    <row r="1139" spans="1:14" s="6" customFormat="1" ht="15" customHeight="1" x14ac:dyDescent="0.25">
      <c r="A1139" s="506"/>
      <c r="B1139" s="308"/>
      <c r="C1139" s="331"/>
      <c r="D1139" s="316"/>
      <c r="E1139" s="331"/>
      <c r="F1139" s="316"/>
      <c r="G1139" s="331"/>
      <c r="H1139" s="316"/>
      <c r="I1139" s="331"/>
      <c r="J1139" s="316"/>
      <c r="K1139" s="331"/>
      <c r="L1139" s="316"/>
      <c r="M1139" s="7"/>
      <c r="N1139" s="206"/>
    </row>
    <row r="1140" spans="1:14" s="6" customFormat="1" ht="15" customHeight="1" x14ac:dyDescent="0.25">
      <c r="A1140" s="506"/>
      <c r="B1140" s="308"/>
      <c r="C1140" s="386"/>
      <c r="D1140" s="384"/>
      <c r="E1140" s="331"/>
      <c r="F1140" s="316"/>
      <c r="G1140" s="451"/>
      <c r="H1140" s="433"/>
      <c r="I1140" s="331"/>
      <c r="J1140" s="316"/>
      <c r="K1140" s="331"/>
      <c r="L1140" s="316"/>
      <c r="M1140" s="7"/>
      <c r="N1140" s="206"/>
    </row>
    <row r="1141" spans="1:14" s="6" customFormat="1" ht="15" customHeight="1" x14ac:dyDescent="0.25">
      <c r="A1141" s="506"/>
      <c r="B1141" s="308"/>
      <c r="C1141" s="317"/>
      <c r="D1141" s="316"/>
      <c r="E1141" s="331"/>
      <c r="F1141" s="316"/>
      <c r="G1141" s="331"/>
      <c r="H1141" s="316"/>
      <c r="I1141" s="331"/>
      <c r="J1141" s="316"/>
      <c r="K1141" s="331"/>
      <c r="L1141" s="316"/>
      <c r="M1141" s="7"/>
      <c r="N1141" s="206"/>
    </row>
    <row r="1142" spans="1:14" s="6" customFormat="1" ht="15" customHeight="1" x14ac:dyDescent="0.25">
      <c r="A1142" s="506"/>
      <c r="B1142" s="308"/>
      <c r="C1142" s="331"/>
      <c r="D1142" s="379"/>
      <c r="E1142" s="331"/>
      <c r="F1142" s="316"/>
      <c r="G1142" s="331"/>
      <c r="H1142" s="316"/>
      <c r="I1142" s="331"/>
      <c r="J1142" s="316"/>
      <c r="K1142" s="331"/>
      <c r="L1142" s="316"/>
      <c r="M1142" s="7"/>
      <c r="N1142" s="206"/>
    </row>
    <row r="1143" spans="1:14" s="6" customFormat="1" ht="15" customHeight="1" x14ac:dyDescent="0.25">
      <c r="A1143" s="506"/>
      <c r="B1143" s="308"/>
      <c r="C1143" s="380"/>
      <c r="D1143" s="319"/>
      <c r="E1143" s="380"/>
      <c r="F1143" s="319"/>
      <c r="G1143" s="381"/>
      <c r="H1143" s="382"/>
      <c r="I1143" s="380"/>
      <c r="J1143" s="319"/>
      <c r="K1143" s="380"/>
      <c r="L1143" s="319"/>
      <c r="M1143" s="7"/>
      <c r="N1143" s="206"/>
    </row>
    <row r="1144" spans="1:14" s="6" customFormat="1" ht="15" customHeight="1" x14ac:dyDescent="0.25">
      <c r="A1144" s="32"/>
      <c r="B1144" s="308"/>
      <c r="C1144" s="210">
        <f>K1137+3</f>
        <v>42842</v>
      </c>
      <c r="D1144" s="223"/>
      <c r="E1144" s="213">
        <f>C1144+1</f>
        <v>42843</v>
      </c>
      <c r="F1144" s="211"/>
      <c r="G1144" s="213">
        <f>E1144+1</f>
        <v>42844</v>
      </c>
      <c r="H1144" s="222"/>
      <c r="I1144" s="213">
        <f>G1144+1</f>
        <v>42845</v>
      </c>
      <c r="J1144" s="222"/>
      <c r="K1144" s="213">
        <f>I1144+1</f>
        <v>42846</v>
      </c>
      <c r="L1144" s="222"/>
      <c r="M1144" s="7"/>
      <c r="N1144" s="1"/>
    </row>
    <row r="1145" spans="1:14" s="6" customFormat="1" ht="15" customHeight="1" x14ac:dyDescent="0.25">
      <c r="A1145" s="32"/>
      <c r="B1145" s="308"/>
      <c r="C1145" s="317"/>
      <c r="D1145" s="316"/>
      <c r="E1145" s="331"/>
      <c r="F1145" s="316"/>
      <c r="G1145" s="331"/>
      <c r="H1145" s="316"/>
      <c r="I1145" s="331"/>
      <c r="J1145" s="316"/>
      <c r="K1145" s="331"/>
      <c r="L1145" s="316"/>
      <c r="M1145" s="7"/>
      <c r="N1145" s="1"/>
    </row>
    <row r="1146" spans="1:14" s="6" customFormat="1" ht="15" customHeight="1" x14ac:dyDescent="0.25">
      <c r="A1146" s="32"/>
      <c r="B1146" s="308"/>
      <c r="C1146" s="317"/>
      <c r="D1146" s="316"/>
      <c r="E1146" s="331"/>
      <c r="F1146" s="316"/>
      <c r="G1146" s="331"/>
      <c r="H1146" s="316"/>
      <c r="I1146" s="331"/>
      <c r="J1146" s="316"/>
      <c r="K1146" s="331"/>
      <c r="L1146" s="316"/>
      <c r="M1146" s="7"/>
      <c r="N1146" s="1"/>
    </row>
    <row r="1147" spans="1:14" s="6" customFormat="1" ht="15" customHeight="1" x14ac:dyDescent="0.25">
      <c r="A1147" s="32"/>
      <c r="B1147" s="308"/>
      <c r="C1147" s="383"/>
      <c r="D1147" s="384"/>
      <c r="E1147" s="331"/>
      <c r="F1147" s="316"/>
      <c r="G1147" s="331"/>
      <c r="H1147" s="316"/>
      <c r="I1147" s="331"/>
      <c r="J1147" s="316"/>
      <c r="K1147" s="331"/>
      <c r="L1147" s="316"/>
      <c r="M1147" s="7"/>
      <c r="N1147" s="1"/>
    </row>
    <row r="1148" spans="1:14" s="6" customFormat="1" ht="15" customHeight="1" x14ac:dyDescent="0.25">
      <c r="A1148" s="32"/>
      <c r="B1148" s="308"/>
      <c r="C1148" s="317"/>
      <c r="D1148" s="316"/>
      <c r="E1148" s="331"/>
      <c r="F1148" s="316"/>
      <c r="G1148" s="331"/>
      <c r="H1148" s="316"/>
      <c r="I1148" s="331"/>
      <c r="J1148" s="316"/>
      <c r="K1148" s="331"/>
      <c r="L1148" s="316"/>
      <c r="M1148" s="7"/>
      <c r="N1148" s="1"/>
    </row>
    <row r="1149" spans="1:14" s="6" customFormat="1" ht="15" customHeight="1" x14ac:dyDescent="0.25">
      <c r="A1149" s="32"/>
      <c r="B1149" s="308"/>
      <c r="C1149" s="317"/>
      <c r="D1149" s="316"/>
      <c r="E1149" s="331"/>
      <c r="F1149" s="316"/>
      <c r="G1149" s="331"/>
      <c r="H1149" s="316"/>
      <c r="I1149" s="331"/>
      <c r="J1149" s="316"/>
      <c r="K1149" s="331"/>
      <c r="L1149" s="316"/>
      <c r="M1149" s="7"/>
      <c r="N1149" s="1"/>
    </row>
    <row r="1150" spans="1:14" s="6" customFormat="1" ht="15" customHeight="1" x14ac:dyDescent="0.25">
      <c r="A1150" s="32"/>
      <c r="B1150" s="308"/>
      <c r="C1150" s="318"/>
      <c r="D1150" s="319"/>
      <c r="E1150" s="380"/>
      <c r="F1150" s="319"/>
      <c r="G1150" s="381"/>
      <c r="H1150" s="382"/>
      <c r="I1150" s="380"/>
      <c r="J1150" s="319"/>
      <c r="K1150" s="380"/>
      <c r="L1150" s="319"/>
      <c r="M1150" s="7"/>
      <c r="N1150" s="1"/>
    </row>
    <row r="1151" spans="1:14" s="6" customFormat="1" ht="15" customHeight="1" x14ac:dyDescent="0.25">
      <c r="A1151" s="32"/>
      <c r="B1151" s="308" t="s">
        <v>21</v>
      </c>
      <c r="C1151" s="210">
        <f>K1144+3</f>
        <v>42849</v>
      </c>
      <c r="D1151" s="222"/>
      <c r="E1151" s="213">
        <f>C1151+1</f>
        <v>42850</v>
      </c>
      <c r="F1151" s="223"/>
      <c r="G1151" s="213">
        <f>E1151+1</f>
        <v>42851</v>
      </c>
      <c r="H1151" s="222"/>
      <c r="I1151" s="213">
        <f>G1151+1</f>
        <v>42852</v>
      </c>
      <c r="J1151" s="229"/>
      <c r="K1151" s="213">
        <f>I1151+1</f>
        <v>42853</v>
      </c>
      <c r="L1151" s="229"/>
      <c r="M1151" s="7"/>
      <c r="N1151" s="1"/>
    </row>
    <row r="1152" spans="1:14" s="6" customFormat="1" ht="15" customHeight="1" x14ac:dyDescent="0.25">
      <c r="A1152" s="32"/>
      <c r="B1152" s="308"/>
      <c r="C1152" s="317"/>
      <c r="D1152" s="316"/>
      <c r="E1152" s="331"/>
      <c r="F1152" s="316"/>
      <c r="G1152" s="331"/>
      <c r="H1152" s="316"/>
      <c r="I1152" s="331"/>
      <c r="J1152" s="316"/>
      <c r="K1152" s="331"/>
      <c r="L1152" s="316"/>
      <c r="M1152" s="7"/>
      <c r="N1152" s="1"/>
    </row>
    <row r="1153" spans="1:14" s="6" customFormat="1" ht="15" customHeight="1" x14ac:dyDescent="0.25">
      <c r="A1153" s="32"/>
      <c r="B1153" s="308"/>
      <c r="C1153" s="317"/>
      <c r="D1153" s="316"/>
      <c r="E1153" s="331"/>
      <c r="F1153" s="316"/>
      <c r="G1153" s="331"/>
      <c r="H1153" s="316"/>
      <c r="I1153" s="331"/>
      <c r="J1153" s="316"/>
      <c r="K1153" s="331"/>
      <c r="L1153" s="316"/>
      <c r="M1153" s="7"/>
      <c r="N1153" s="1"/>
    </row>
    <row r="1154" spans="1:14" s="6" customFormat="1" ht="15" customHeight="1" x14ac:dyDescent="0.25">
      <c r="A1154" s="32"/>
      <c r="B1154" s="308"/>
      <c r="C1154" s="317"/>
      <c r="D1154" s="316"/>
      <c r="E1154" s="331"/>
      <c r="F1154" s="379"/>
      <c r="G1154" s="331"/>
      <c r="H1154" s="316"/>
      <c r="I1154" s="331"/>
      <c r="J1154" s="316"/>
      <c r="K1154" s="331"/>
      <c r="L1154" s="316"/>
      <c r="M1154" s="7"/>
      <c r="N1154" s="1"/>
    </row>
    <row r="1155" spans="1:14" s="6" customFormat="1" ht="15" customHeight="1" x14ac:dyDescent="0.25">
      <c r="A1155" s="32"/>
      <c r="B1155" s="308"/>
      <c r="C1155" s="383" t="s">
        <v>168</v>
      </c>
      <c r="D1155" s="384"/>
      <c r="E1155" s="331"/>
      <c r="F1155" s="316"/>
      <c r="G1155" s="331"/>
      <c r="H1155" s="316"/>
      <c r="I1155" s="331"/>
      <c r="J1155" s="316"/>
      <c r="K1155" s="331"/>
      <c r="L1155" s="316"/>
      <c r="M1155" s="7"/>
      <c r="N1155" s="1"/>
    </row>
    <row r="1156" spans="1:14" s="6" customFormat="1" ht="15" customHeight="1" x14ac:dyDescent="0.25">
      <c r="A1156" s="32"/>
      <c r="B1156" s="308"/>
      <c r="C1156" s="317"/>
      <c r="D1156" s="316"/>
      <c r="E1156" s="331"/>
      <c r="F1156" s="316"/>
      <c r="G1156" s="331"/>
      <c r="H1156" s="316"/>
      <c r="I1156" s="331"/>
      <c r="J1156" s="316"/>
      <c r="K1156" s="331"/>
      <c r="L1156" s="316"/>
      <c r="M1156" s="7"/>
      <c r="N1156" s="1"/>
    </row>
    <row r="1157" spans="1:14" s="6" customFormat="1" ht="15" customHeight="1" x14ac:dyDescent="0.25">
      <c r="A1157" s="32"/>
      <c r="B1157" s="309"/>
      <c r="C1157" s="318"/>
      <c r="D1157" s="319"/>
      <c r="E1157" s="380"/>
      <c r="F1157" s="319"/>
      <c r="G1157" s="381"/>
      <c r="H1157" s="382"/>
      <c r="I1157" s="380"/>
      <c r="J1157" s="319"/>
      <c r="K1157" s="380"/>
      <c r="L1157" s="319"/>
      <c r="M1157" s="7"/>
      <c r="N1157" s="1"/>
    </row>
    <row r="1158" spans="1:14" s="6" customFormat="1" ht="15" customHeight="1" x14ac:dyDescent="0.25">
      <c r="A1158" s="32"/>
      <c r="B1158" s="517"/>
      <c r="C1158" s="210">
        <f>K1151+3</f>
        <v>42856</v>
      </c>
      <c r="D1158" s="222"/>
      <c r="E1158" s="213">
        <f>C1158+1</f>
        <v>42857</v>
      </c>
      <c r="F1158" s="223"/>
      <c r="G1158" s="213">
        <f>E1158+1</f>
        <v>42858</v>
      </c>
      <c r="H1158" s="225"/>
      <c r="I1158" s="213">
        <f>G1158+1</f>
        <v>42859</v>
      </c>
      <c r="J1158" s="222"/>
      <c r="K1158" s="213">
        <f>I1158+1</f>
        <v>42860</v>
      </c>
      <c r="L1158" s="222"/>
      <c r="M1158" s="7"/>
      <c r="N1158" s="206"/>
    </row>
    <row r="1159" spans="1:14" s="6" customFormat="1" ht="15" customHeight="1" x14ac:dyDescent="0.25">
      <c r="A1159" s="32"/>
      <c r="B1159" s="518"/>
      <c r="C1159" s="317"/>
      <c r="D1159" s="316"/>
      <c r="E1159" s="331"/>
      <c r="F1159" s="316"/>
      <c r="G1159" s="331"/>
      <c r="H1159" s="316"/>
      <c r="I1159" s="331"/>
      <c r="J1159" s="316"/>
      <c r="K1159" s="331"/>
      <c r="L1159" s="316"/>
      <c r="M1159" s="7"/>
      <c r="N1159" s="206"/>
    </row>
    <row r="1160" spans="1:14" s="6" customFormat="1" ht="15" customHeight="1" x14ac:dyDescent="0.25">
      <c r="A1160" s="32"/>
      <c r="B1160" s="518"/>
      <c r="C1160" s="317"/>
      <c r="D1160" s="316"/>
      <c r="E1160" s="331"/>
      <c r="F1160" s="316"/>
      <c r="G1160" s="331"/>
      <c r="H1160" s="316"/>
      <c r="I1160" s="331"/>
      <c r="J1160" s="316"/>
      <c r="K1160" s="331"/>
      <c r="L1160" s="316"/>
      <c r="M1160" s="7"/>
      <c r="N1160" s="206"/>
    </row>
    <row r="1161" spans="1:14" s="6" customFormat="1" ht="15" customHeight="1" x14ac:dyDescent="0.25">
      <c r="A1161" s="32"/>
      <c r="B1161" s="518"/>
      <c r="C1161" s="511"/>
      <c r="D1161" s="512"/>
      <c r="E1161" s="513"/>
      <c r="F1161" s="514"/>
      <c r="G1161" s="515"/>
      <c r="H1161" s="516"/>
      <c r="I1161" s="331"/>
      <c r="J1161" s="316"/>
      <c r="K1161" s="331"/>
      <c r="L1161" s="316"/>
      <c r="M1161" s="7"/>
      <c r="N1161" s="206"/>
    </row>
    <row r="1162" spans="1:14" s="6" customFormat="1" ht="15" customHeight="1" x14ac:dyDescent="0.25">
      <c r="A1162" s="32"/>
      <c r="B1162" s="518"/>
      <c r="C1162" s="317"/>
      <c r="D1162" s="316"/>
      <c r="E1162" s="519"/>
      <c r="F1162" s="316"/>
      <c r="G1162" s="331"/>
      <c r="H1162" s="316"/>
      <c r="I1162" s="331"/>
      <c r="J1162" s="316"/>
      <c r="K1162" s="331"/>
      <c r="L1162" s="316"/>
      <c r="M1162" s="7"/>
      <c r="N1162" s="206"/>
    </row>
    <row r="1163" spans="1:14" s="6" customFormat="1" ht="15" customHeight="1" x14ac:dyDescent="0.25">
      <c r="A1163" s="32"/>
      <c r="B1163" s="518"/>
      <c r="C1163" s="317"/>
      <c r="D1163" s="316"/>
      <c r="E1163" s="331"/>
      <c r="F1163" s="316"/>
      <c r="G1163" s="331"/>
      <c r="H1163" s="316"/>
      <c r="I1163" s="331"/>
      <c r="J1163" s="316"/>
      <c r="K1163" s="331"/>
      <c r="L1163" s="316"/>
      <c r="M1163" s="7"/>
      <c r="N1163" s="206"/>
    </row>
    <row r="1164" spans="1:14" s="6" customFormat="1" ht="15" customHeight="1" x14ac:dyDescent="0.25">
      <c r="A1164" s="32"/>
      <c r="B1164" s="518"/>
      <c r="C1164" s="318"/>
      <c r="D1164" s="319"/>
      <c r="E1164" s="380"/>
      <c r="F1164" s="319"/>
      <c r="G1164" s="381"/>
      <c r="H1164" s="382"/>
      <c r="I1164" s="380"/>
      <c r="J1164" s="319"/>
      <c r="K1164" s="380"/>
      <c r="L1164" s="319"/>
      <c r="M1164" s="7"/>
      <c r="N1164" s="206"/>
    </row>
    <row r="1165" spans="1:14" s="6" customFormat="1" ht="15" customHeight="1" x14ac:dyDescent="0.25">
      <c r="A1165" s="492"/>
      <c r="B1165" s="518"/>
      <c r="C1165" s="210">
        <f>K1158+3</f>
        <v>42863</v>
      </c>
      <c r="D1165" s="225"/>
      <c r="E1165" s="213">
        <f>C1165+1</f>
        <v>42864</v>
      </c>
      <c r="F1165" s="223"/>
      <c r="G1165" s="213">
        <f>E1165+1</f>
        <v>42865</v>
      </c>
      <c r="H1165" s="222"/>
      <c r="I1165" s="213">
        <f>G1165+1</f>
        <v>42866</v>
      </c>
      <c r="J1165" s="226"/>
      <c r="K1165" s="213">
        <f>I1165+1</f>
        <v>42867</v>
      </c>
      <c r="L1165" s="226"/>
      <c r="M1165" s="7"/>
      <c r="N1165" s="206"/>
    </row>
    <row r="1166" spans="1:14" s="6" customFormat="1" ht="15" customHeight="1" x14ac:dyDescent="0.25">
      <c r="A1166" s="506"/>
      <c r="B1166" s="518"/>
      <c r="C1166" s="476"/>
      <c r="D1166" s="456"/>
      <c r="E1166" s="331"/>
      <c r="F1166" s="316"/>
      <c r="G1166" s="331"/>
      <c r="H1166" s="316"/>
      <c r="I1166" s="331"/>
      <c r="J1166" s="316"/>
      <c r="K1166" s="331"/>
      <c r="L1166" s="316"/>
      <c r="M1166" s="7"/>
      <c r="N1166" s="206"/>
    </row>
    <row r="1167" spans="1:14" s="6" customFormat="1" ht="15" customHeight="1" x14ac:dyDescent="0.25">
      <c r="A1167" s="506"/>
      <c r="B1167" s="518"/>
      <c r="C1167" s="331"/>
      <c r="D1167" s="316"/>
      <c r="E1167" s="331"/>
      <c r="F1167" s="316"/>
      <c r="G1167" s="331"/>
      <c r="H1167" s="316"/>
      <c r="I1167" s="331"/>
      <c r="J1167" s="316"/>
      <c r="K1167" s="331"/>
      <c r="L1167" s="316"/>
      <c r="M1167" s="7"/>
      <c r="N1167" s="206"/>
    </row>
    <row r="1168" spans="1:14" s="6" customFormat="1" ht="15" customHeight="1" x14ac:dyDescent="0.25">
      <c r="A1168" s="506"/>
      <c r="B1168" s="518"/>
      <c r="C1168" s="386"/>
      <c r="D1168" s="384"/>
      <c r="E1168" s="331"/>
      <c r="F1168" s="316"/>
      <c r="G1168" s="331"/>
      <c r="H1168" s="316"/>
      <c r="I1168" s="331"/>
      <c r="J1168" s="316"/>
      <c r="K1168" s="331"/>
      <c r="L1168" s="316"/>
      <c r="M1168" s="7"/>
      <c r="N1168" s="206"/>
    </row>
    <row r="1169" spans="1:14" s="6" customFormat="1" ht="15" customHeight="1" x14ac:dyDescent="0.25">
      <c r="A1169" s="506"/>
      <c r="B1169" s="518"/>
      <c r="C1169" s="331"/>
      <c r="D1169" s="316"/>
      <c r="E1169" s="331"/>
      <c r="F1169" s="316"/>
      <c r="G1169" s="331"/>
      <c r="H1169" s="316"/>
      <c r="I1169" s="331"/>
      <c r="J1169" s="316"/>
      <c r="K1169" s="331"/>
      <c r="L1169" s="316"/>
      <c r="M1169" s="7"/>
      <c r="N1169" s="206"/>
    </row>
    <row r="1170" spans="1:14" s="6" customFormat="1" ht="15" customHeight="1" x14ac:dyDescent="0.25">
      <c r="A1170" s="506"/>
      <c r="B1170" s="518"/>
      <c r="C1170" s="331"/>
      <c r="D1170" s="316"/>
      <c r="E1170" s="331"/>
      <c r="F1170" s="316"/>
      <c r="G1170" s="331"/>
      <c r="H1170" s="316"/>
      <c r="I1170" s="331"/>
      <c r="J1170" s="316"/>
      <c r="K1170" s="331"/>
      <c r="L1170" s="316"/>
      <c r="M1170" s="7"/>
      <c r="N1170" s="217"/>
    </row>
    <row r="1171" spans="1:14" s="6" customFormat="1" ht="15" customHeight="1" x14ac:dyDescent="0.25">
      <c r="A1171" s="506"/>
      <c r="B1171" s="518"/>
      <c r="C1171" s="380"/>
      <c r="D1171" s="319"/>
      <c r="E1171" s="380"/>
      <c r="F1171" s="319"/>
      <c r="G1171" s="381"/>
      <c r="H1171" s="382"/>
      <c r="I1171" s="380"/>
      <c r="J1171" s="319"/>
      <c r="K1171" s="380"/>
      <c r="L1171" s="319"/>
      <c r="M1171" s="7"/>
      <c r="N1171" s="217"/>
    </row>
    <row r="1172" spans="1:14" s="6" customFormat="1" ht="15" customHeight="1" x14ac:dyDescent="0.25">
      <c r="A1172" s="492"/>
      <c r="B1172" s="518"/>
      <c r="C1172" s="210">
        <f>K1165+3</f>
        <v>42870</v>
      </c>
      <c r="D1172" s="222"/>
      <c r="E1172" s="213">
        <f>C1172+1</f>
        <v>42871</v>
      </c>
      <c r="F1172" s="223"/>
      <c r="G1172" s="213">
        <f>E1172+1</f>
        <v>42872</v>
      </c>
      <c r="H1172" s="222"/>
      <c r="I1172" s="213">
        <f>G1172+1</f>
        <v>42873</v>
      </c>
      <c r="J1172" s="222"/>
      <c r="K1172" s="213">
        <f>I1172+1</f>
        <v>42874</v>
      </c>
      <c r="L1172" s="222"/>
      <c r="M1172" s="7"/>
      <c r="N1172" s="206"/>
    </row>
    <row r="1173" spans="1:14" s="6" customFormat="1" ht="15" customHeight="1" x14ac:dyDescent="0.25">
      <c r="A1173" s="506"/>
      <c r="B1173" s="518"/>
      <c r="C1173" s="476"/>
      <c r="D1173" s="456"/>
      <c r="E1173" s="331"/>
      <c r="F1173" s="316"/>
      <c r="G1173" s="331"/>
      <c r="H1173" s="316"/>
      <c r="I1173" s="331"/>
      <c r="J1173" s="316"/>
      <c r="K1173" s="331"/>
      <c r="L1173" s="316"/>
      <c r="M1173" s="7"/>
      <c r="N1173" s="206"/>
    </row>
    <row r="1174" spans="1:14" s="6" customFormat="1" ht="15" customHeight="1" x14ac:dyDescent="0.25">
      <c r="A1174" s="506"/>
      <c r="B1174" s="518"/>
      <c r="C1174" s="331"/>
      <c r="D1174" s="316"/>
      <c r="E1174" s="331"/>
      <c r="F1174" s="316"/>
      <c r="G1174" s="331"/>
      <c r="H1174" s="316"/>
      <c r="I1174" s="331"/>
      <c r="J1174" s="316"/>
      <c r="K1174" s="331"/>
      <c r="L1174" s="316"/>
      <c r="M1174" s="7"/>
      <c r="N1174" s="206"/>
    </row>
    <row r="1175" spans="1:14" s="6" customFormat="1" ht="15" customHeight="1" x14ac:dyDescent="0.25">
      <c r="A1175" s="506"/>
      <c r="B1175" s="518"/>
      <c r="C1175" s="386"/>
      <c r="D1175" s="384"/>
      <c r="E1175" s="331"/>
      <c r="F1175" s="316"/>
      <c r="G1175" s="331"/>
      <c r="H1175" s="316"/>
      <c r="I1175" s="331"/>
      <c r="J1175" s="316"/>
      <c r="K1175" s="331"/>
      <c r="L1175" s="316"/>
      <c r="M1175" s="7"/>
      <c r="N1175" s="206"/>
    </row>
    <row r="1176" spans="1:14" s="6" customFormat="1" ht="15" customHeight="1" x14ac:dyDescent="0.25">
      <c r="A1176" s="506"/>
      <c r="B1176" s="518"/>
      <c r="C1176" s="331"/>
      <c r="D1176" s="316"/>
      <c r="E1176" s="331"/>
      <c r="F1176" s="316"/>
      <c r="G1176" s="331"/>
      <c r="H1176" s="316"/>
      <c r="I1176" s="331"/>
      <c r="J1176" s="316"/>
      <c r="K1176" s="331"/>
      <c r="L1176" s="316"/>
      <c r="M1176" s="7"/>
      <c r="N1176" s="206"/>
    </row>
    <row r="1177" spans="1:14" s="6" customFormat="1" ht="15" customHeight="1" x14ac:dyDescent="0.25">
      <c r="A1177" s="506"/>
      <c r="B1177" s="518"/>
      <c r="C1177" s="331"/>
      <c r="D1177" s="316"/>
      <c r="E1177" s="331"/>
      <c r="F1177" s="316"/>
      <c r="G1177" s="331"/>
      <c r="H1177" s="316"/>
      <c r="I1177" s="331"/>
      <c r="J1177" s="316"/>
      <c r="K1177" s="331"/>
      <c r="L1177" s="316"/>
      <c r="M1177" s="7"/>
      <c r="N1177" s="206"/>
    </row>
    <row r="1178" spans="1:14" s="6" customFormat="1" ht="15" customHeight="1" x14ac:dyDescent="0.25">
      <c r="A1178" s="506"/>
      <c r="B1178" s="518"/>
      <c r="C1178" s="380"/>
      <c r="D1178" s="319"/>
      <c r="E1178" s="380"/>
      <c r="F1178" s="319"/>
      <c r="G1178" s="381"/>
      <c r="H1178" s="382"/>
      <c r="I1178" s="380"/>
      <c r="J1178" s="319"/>
      <c r="K1178" s="380"/>
      <c r="L1178" s="319"/>
      <c r="M1178" s="7"/>
      <c r="N1178" s="206"/>
    </row>
    <row r="1179" spans="1:14" s="6" customFormat="1" ht="15" customHeight="1" x14ac:dyDescent="0.25">
      <c r="A1179" s="32"/>
      <c r="B1179" s="518"/>
      <c r="C1179" s="210">
        <f>K1172+3</f>
        <v>42877</v>
      </c>
      <c r="D1179" s="226"/>
      <c r="E1179" s="213">
        <f>C1179+1</f>
        <v>42878</v>
      </c>
      <c r="F1179" s="223"/>
      <c r="G1179" s="213">
        <f>E1179+1</f>
        <v>42879</v>
      </c>
      <c r="H1179" s="222"/>
      <c r="I1179" s="213">
        <f>G1179+1</f>
        <v>42880</v>
      </c>
      <c r="J1179" s="222"/>
      <c r="K1179" s="213">
        <f>I1179+1</f>
        <v>42881</v>
      </c>
      <c r="L1179" s="222"/>
      <c r="M1179" s="7"/>
      <c r="N1179" s="206"/>
    </row>
    <row r="1180" spans="1:14" s="6" customFormat="1" ht="15" customHeight="1" x14ac:dyDescent="0.25">
      <c r="A1180" s="32"/>
      <c r="B1180" s="518"/>
      <c r="C1180" s="317"/>
      <c r="D1180" s="316"/>
      <c r="E1180" s="331"/>
      <c r="F1180" s="316"/>
      <c r="G1180" s="331"/>
      <c r="H1180" s="316"/>
      <c r="I1180" s="331"/>
      <c r="J1180" s="316"/>
      <c r="K1180" s="331"/>
      <c r="L1180" s="316"/>
      <c r="M1180" s="7"/>
      <c r="N1180" s="206"/>
    </row>
    <row r="1181" spans="1:14" s="6" customFormat="1" ht="15" customHeight="1" x14ac:dyDescent="0.25">
      <c r="A1181" s="32"/>
      <c r="B1181" s="518"/>
      <c r="C1181" s="317"/>
      <c r="D1181" s="316"/>
      <c r="E1181" s="331"/>
      <c r="F1181" s="316"/>
      <c r="G1181" s="331"/>
      <c r="H1181" s="316"/>
      <c r="I1181" s="331"/>
      <c r="J1181" s="316"/>
      <c r="K1181" s="331"/>
      <c r="L1181" s="316"/>
      <c r="M1181" s="7"/>
      <c r="N1181" s="206"/>
    </row>
    <row r="1182" spans="1:14" s="6" customFormat="1" ht="15" customHeight="1" x14ac:dyDescent="0.25">
      <c r="A1182" s="32"/>
      <c r="B1182" s="518"/>
      <c r="C1182" s="383" t="s">
        <v>168</v>
      </c>
      <c r="D1182" s="384"/>
      <c r="E1182" s="331"/>
      <c r="F1182" s="316"/>
      <c r="G1182" s="331"/>
      <c r="H1182" s="316"/>
      <c r="I1182" s="331"/>
      <c r="J1182" s="316"/>
      <c r="K1182" s="331"/>
      <c r="L1182" s="316"/>
      <c r="M1182" s="7"/>
      <c r="N1182" s="206"/>
    </row>
    <row r="1183" spans="1:14" s="6" customFormat="1" ht="15" customHeight="1" x14ac:dyDescent="0.25">
      <c r="A1183" s="32"/>
      <c r="B1183" s="518"/>
      <c r="C1183" s="317"/>
      <c r="D1183" s="316"/>
      <c r="E1183" s="331"/>
      <c r="F1183" s="316"/>
      <c r="G1183" s="331"/>
      <c r="H1183" s="316"/>
      <c r="I1183" s="331"/>
      <c r="J1183" s="316"/>
      <c r="K1183" s="331"/>
      <c r="L1183" s="316"/>
      <c r="M1183" s="7"/>
      <c r="N1183" s="206"/>
    </row>
    <row r="1184" spans="1:14" s="6" customFormat="1" ht="15" customHeight="1" x14ac:dyDescent="0.25">
      <c r="A1184" s="32"/>
      <c r="B1184" s="518"/>
      <c r="C1184" s="317"/>
      <c r="D1184" s="316"/>
      <c r="E1184" s="331"/>
      <c r="F1184" s="316"/>
      <c r="G1184" s="331"/>
      <c r="H1184" s="316"/>
      <c r="I1184" s="331"/>
      <c r="J1184" s="316"/>
      <c r="K1184" s="331"/>
      <c r="L1184" s="316"/>
      <c r="M1184" s="7"/>
      <c r="N1184" s="206"/>
    </row>
    <row r="1185" spans="1:14" s="6" customFormat="1" ht="15" customHeight="1" x14ac:dyDescent="0.25">
      <c r="A1185" s="32"/>
      <c r="B1185" s="518"/>
      <c r="C1185" s="318"/>
      <c r="D1185" s="319"/>
      <c r="E1185" s="380"/>
      <c r="F1185" s="319"/>
      <c r="G1185" s="381"/>
      <c r="H1185" s="382"/>
      <c r="I1185" s="380"/>
      <c r="J1185" s="319"/>
      <c r="K1185" s="380"/>
      <c r="L1185" s="319"/>
      <c r="M1185" s="7"/>
      <c r="N1185" s="206"/>
    </row>
    <row r="1186" spans="1:14" s="6" customFormat="1" ht="15" customHeight="1" x14ac:dyDescent="0.25">
      <c r="A1186" s="32"/>
      <c r="B1186" s="518" t="s">
        <v>20</v>
      </c>
      <c r="C1186" s="210">
        <f>K1179+3</f>
        <v>42884</v>
      </c>
      <c r="D1186" s="226"/>
      <c r="E1186" s="213">
        <f>C1186+1</f>
        <v>42885</v>
      </c>
      <c r="F1186" s="223"/>
      <c r="G1186" s="213">
        <f>E1186+1</f>
        <v>42886</v>
      </c>
      <c r="H1186" s="222"/>
      <c r="I1186" s="213">
        <f>G1186+1</f>
        <v>42887</v>
      </c>
      <c r="J1186" s="222"/>
      <c r="K1186" s="213">
        <f>I1186+1</f>
        <v>42888</v>
      </c>
      <c r="L1186" s="222"/>
      <c r="M1186" s="7"/>
      <c r="N1186" s="206"/>
    </row>
    <row r="1187" spans="1:14" s="6" customFormat="1" ht="15" customHeight="1" x14ac:dyDescent="0.25">
      <c r="A1187" s="32"/>
      <c r="B1187" s="518"/>
      <c r="C1187" s="317"/>
      <c r="D1187" s="316"/>
      <c r="E1187" s="331"/>
      <c r="F1187" s="316"/>
      <c r="G1187" s="331"/>
      <c r="H1187" s="316"/>
      <c r="I1187" s="331"/>
      <c r="J1187" s="316"/>
      <c r="K1187" s="331"/>
      <c r="L1187" s="316"/>
      <c r="M1187" s="7"/>
      <c r="N1187" s="206"/>
    </row>
    <row r="1188" spans="1:14" s="6" customFormat="1" ht="15" customHeight="1" x14ac:dyDescent="0.25">
      <c r="A1188" s="32"/>
      <c r="B1188" s="518"/>
      <c r="C1188" s="386" t="s">
        <v>168</v>
      </c>
      <c r="D1188" s="486"/>
      <c r="E1188" s="331"/>
      <c r="F1188" s="316"/>
      <c r="G1188" s="331"/>
      <c r="H1188" s="316"/>
      <c r="I1188" s="331"/>
      <c r="J1188" s="316"/>
      <c r="K1188" s="331"/>
      <c r="L1188" s="316"/>
      <c r="M1188" s="7"/>
      <c r="N1188" s="206"/>
    </row>
    <row r="1189" spans="1:14" s="6" customFormat="1" ht="15" customHeight="1" x14ac:dyDescent="0.25">
      <c r="A1189" s="32"/>
      <c r="B1189" s="518"/>
      <c r="C1189" s="383"/>
      <c r="D1189" s="384"/>
      <c r="E1189" s="331"/>
      <c r="F1189" s="316"/>
      <c r="G1189" s="331"/>
      <c r="H1189" s="316"/>
      <c r="I1189" s="331"/>
      <c r="J1189" s="316"/>
      <c r="K1189" s="331"/>
      <c r="L1189" s="316"/>
      <c r="M1189" s="7"/>
      <c r="N1189" s="206"/>
    </row>
    <row r="1190" spans="1:14" s="6" customFormat="1" ht="15" customHeight="1" x14ac:dyDescent="0.25">
      <c r="A1190" s="32"/>
      <c r="B1190" s="518"/>
      <c r="C1190" s="317"/>
      <c r="D1190" s="316"/>
      <c r="E1190" s="331"/>
      <c r="F1190" s="316"/>
      <c r="G1190" s="331"/>
      <c r="H1190" s="316"/>
      <c r="I1190" s="331"/>
      <c r="J1190" s="316"/>
      <c r="K1190" s="331"/>
      <c r="L1190" s="316"/>
      <c r="M1190" s="7"/>
      <c r="N1190" s="206"/>
    </row>
    <row r="1191" spans="1:14" s="6" customFormat="1" ht="15" customHeight="1" x14ac:dyDescent="0.25">
      <c r="A1191" s="32"/>
      <c r="B1191" s="518"/>
      <c r="C1191" s="331"/>
      <c r="D1191" s="316"/>
      <c r="E1191" s="331"/>
      <c r="F1191" s="316"/>
      <c r="G1191" s="331"/>
      <c r="H1191" s="316"/>
      <c r="I1191" s="331"/>
      <c r="J1191" s="316"/>
      <c r="K1191" s="331"/>
      <c r="L1191" s="316"/>
      <c r="M1191" s="7"/>
      <c r="N1191" s="206"/>
    </row>
    <row r="1192" spans="1:14" s="6" customFormat="1" ht="15" customHeight="1" x14ac:dyDescent="0.25">
      <c r="A1192" s="32"/>
      <c r="B1192" s="518"/>
      <c r="C1192" s="380"/>
      <c r="D1192" s="319"/>
      <c r="E1192" s="380"/>
      <c r="F1192" s="319"/>
      <c r="G1192" s="381"/>
      <c r="H1192" s="382"/>
      <c r="I1192" s="380"/>
      <c r="J1192" s="319"/>
      <c r="K1192" s="380"/>
      <c r="L1192" s="319"/>
      <c r="M1192" s="7"/>
      <c r="N1192" s="206"/>
    </row>
    <row r="1193" spans="1:14" s="6" customFormat="1" ht="15" customHeight="1" x14ac:dyDescent="0.25">
      <c r="A1193" s="32"/>
      <c r="B1193" s="510"/>
      <c r="C1193" s="210">
        <f>K1186+3</f>
        <v>42891</v>
      </c>
      <c r="D1193" s="225"/>
      <c r="E1193" s="213">
        <f>C1193+1</f>
        <v>42892</v>
      </c>
      <c r="F1193" s="223"/>
      <c r="G1193" s="213">
        <f>E1193+1</f>
        <v>42893</v>
      </c>
      <c r="H1193" s="222"/>
      <c r="I1193" s="213">
        <f>G1193+1</f>
        <v>42894</v>
      </c>
      <c r="J1193" s="222"/>
      <c r="K1193" s="213">
        <f>I1193+1</f>
        <v>42895</v>
      </c>
      <c r="L1193" s="222"/>
      <c r="M1193" s="7"/>
      <c r="N1193" s="206"/>
    </row>
    <row r="1194" spans="1:14" s="6" customFormat="1" ht="15" customHeight="1" x14ac:dyDescent="0.25">
      <c r="A1194" s="32"/>
      <c r="B1194" s="308"/>
      <c r="C1194" s="331"/>
      <c r="D1194" s="316"/>
      <c r="E1194" s="331"/>
      <c r="F1194" s="316"/>
      <c r="G1194" s="331"/>
      <c r="H1194" s="316"/>
      <c r="I1194" s="331"/>
      <c r="J1194" s="316"/>
      <c r="K1194" s="331"/>
      <c r="L1194" s="316"/>
      <c r="M1194" s="7"/>
      <c r="N1194" s="206"/>
    </row>
    <row r="1195" spans="1:14" s="6" customFormat="1" ht="15" customHeight="1" x14ac:dyDescent="0.25">
      <c r="A1195" s="32"/>
      <c r="B1195" s="308"/>
      <c r="C1195" s="331"/>
      <c r="D1195" s="316"/>
      <c r="E1195" s="331"/>
      <c r="F1195" s="316"/>
      <c r="G1195" s="331"/>
      <c r="H1195" s="316"/>
      <c r="I1195" s="331"/>
      <c r="J1195" s="316"/>
      <c r="K1195" s="331"/>
      <c r="L1195" s="316"/>
      <c r="M1195" s="7"/>
      <c r="N1195" s="206"/>
    </row>
    <row r="1196" spans="1:14" s="6" customFormat="1" ht="15" customHeight="1" x14ac:dyDescent="0.25">
      <c r="A1196" s="32"/>
      <c r="B1196" s="308"/>
      <c r="C1196" s="386" t="s">
        <v>168</v>
      </c>
      <c r="D1196" s="384"/>
      <c r="E1196" s="331"/>
      <c r="F1196" s="316"/>
      <c r="G1196" s="520"/>
      <c r="H1196" s="521"/>
      <c r="I1196" s="331"/>
      <c r="J1196" s="316"/>
      <c r="K1196" s="331"/>
      <c r="L1196" s="316"/>
      <c r="M1196" s="7"/>
      <c r="N1196" s="206"/>
    </row>
    <row r="1197" spans="1:14" s="6" customFormat="1" ht="15" customHeight="1" x14ac:dyDescent="0.25">
      <c r="A1197" s="32"/>
      <c r="B1197" s="308"/>
      <c r="C1197" s="331"/>
      <c r="D1197" s="316"/>
      <c r="E1197" s="331"/>
      <c r="F1197" s="316"/>
      <c r="G1197" s="331"/>
      <c r="H1197" s="316"/>
      <c r="I1197" s="331"/>
      <c r="J1197" s="316"/>
      <c r="K1197" s="331"/>
      <c r="L1197" s="316"/>
      <c r="M1197" s="7"/>
      <c r="N1197" s="206"/>
    </row>
    <row r="1198" spans="1:14" s="6" customFormat="1" ht="15" customHeight="1" x14ac:dyDescent="0.25">
      <c r="A1198" s="32"/>
      <c r="B1198" s="308"/>
      <c r="C1198" s="331"/>
      <c r="D1198" s="316"/>
      <c r="E1198" s="331"/>
      <c r="F1198" s="316"/>
      <c r="G1198" s="331"/>
      <c r="H1198" s="316"/>
      <c r="I1198" s="331"/>
      <c r="J1198" s="316"/>
      <c r="K1198" s="331"/>
      <c r="L1198" s="316"/>
      <c r="M1198" s="7"/>
      <c r="N1198" s="206"/>
    </row>
    <row r="1199" spans="1:14" s="6" customFormat="1" ht="2.25" customHeight="1" x14ac:dyDescent="0.25">
      <c r="A1199" s="32"/>
      <c r="B1199" s="308"/>
      <c r="C1199" s="318"/>
      <c r="D1199" s="319"/>
      <c r="E1199" s="380"/>
      <c r="F1199" s="319"/>
      <c r="G1199" s="381"/>
      <c r="H1199" s="382"/>
      <c r="I1199" s="380"/>
      <c r="J1199" s="319"/>
      <c r="K1199" s="380"/>
      <c r="L1199" s="319"/>
      <c r="M1199" s="7"/>
      <c r="N1199" s="206"/>
    </row>
    <row r="1200" spans="1:14" s="6" customFormat="1" ht="15" customHeight="1" x14ac:dyDescent="0.25">
      <c r="A1200" s="492"/>
      <c r="B1200" s="308"/>
      <c r="C1200" s="210">
        <f>K1193+3</f>
        <v>42898</v>
      </c>
      <c r="D1200" s="222"/>
      <c r="E1200" s="213">
        <f>C1200+1</f>
        <v>42899</v>
      </c>
      <c r="F1200" s="223"/>
      <c r="G1200" s="213">
        <f>E1200+1</f>
        <v>42900</v>
      </c>
      <c r="H1200" s="222"/>
      <c r="I1200" s="213">
        <f>G1200+1</f>
        <v>42901</v>
      </c>
      <c r="J1200" s="222"/>
      <c r="K1200" s="213">
        <f>I1200+1</f>
        <v>42902</v>
      </c>
      <c r="L1200" s="222"/>
      <c r="M1200" s="7"/>
      <c r="N1200" s="206"/>
    </row>
    <row r="1201" spans="1:14" s="6" customFormat="1" ht="15" customHeight="1" x14ac:dyDescent="0.25">
      <c r="A1201" s="506"/>
      <c r="B1201" s="308"/>
      <c r="C1201" s="476"/>
      <c r="D1201" s="456"/>
      <c r="E1201" s="331"/>
      <c r="F1201" s="316"/>
      <c r="G1201" s="331"/>
      <c r="H1201" s="316"/>
      <c r="I1201" s="331"/>
      <c r="J1201" s="316"/>
      <c r="K1201" s="331"/>
      <c r="L1201" s="316"/>
      <c r="M1201" s="7"/>
      <c r="N1201" s="206"/>
    </row>
    <row r="1202" spans="1:14" s="6" customFormat="1" ht="15" customHeight="1" x14ac:dyDescent="0.25">
      <c r="A1202" s="506"/>
      <c r="B1202" s="308"/>
      <c r="C1202" s="331"/>
      <c r="D1202" s="316"/>
      <c r="E1202" s="331"/>
      <c r="F1202" s="316"/>
      <c r="G1202" s="331"/>
      <c r="H1202" s="316"/>
      <c r="I1202" s="331"/>
      <c r="J1202" s="316"/>
      <c r="K1202" s="331"/>
      <c r="L1202" s="316"/>
      <c r="M1202" s="7"/>
      <c r="N1202" s="206"/>
    </row>
    <row r="1203" spans="1:14" s="6" customFormat="1" ht="15" customHeight="1" x14ac:dyDescent="0.25">
      <c r="A1203" s="506"/>
      <c r="B1203" s="308"/>
      <c r="C1203" s="386" t="s">
        <v>168</v>
      </c>
      <c r="D1203" s="486"/>
      <c r="E1203" s="331"/>
      <c r="F1203" s="316"/>
      <c r="G1203" s="331"/>
      <c r="H1203" s="316"/>
      <c r="I1203" s="331"/>
      <c r="J1203" s="316"/>
      <c r="K1203" s="331"/>
      <c r="L1203" s="316"/>
      <c r="M1203" s="7"/>
      <c r="N1203" s="206"/>
    </row>
    <row r="1204" spans="1:14" s="6" customFormat="1" ht="15" customHeight="1" x14ac:dyDescent="0.25">
      <c r="A1204" s="506"/>
      <c r="B1204" s="308"/>
      <c r="C1204" s="331"/>
      <c r="D1204" s="316"/>
      <c r="E1204" s="331"/>
      <c r="F1204" s="316"/>
      <c r="G1204" s="331"/>
      <c r="H1204" s="316"/>
      <c r="I1204" s="331"/>
      <c r="J1204" s="316"/>
      <c r="K1204" s="331"/>
      <c r="L1204" s="316"/>
      <c r="M1204" s="7"/>
      <c r="N1204" s="206"/>
    </row>
    <row r="1205" spans="1:14" s="6" customFormat="1" ht="15" customHeight="1" x14ac:dyDescent="0.25">
      <c r="A1205" s="506"/>
      <c r="B1205" s="308"/>
      <c r="C1205" s="331"/>
      <c r="D1205" s="316"/>
      <c r="E1205" s="331"/>
      <c r="F1205" s="316"/>
      <c r="G1205" s="331"/>
      <c r="H1205" s="316"/>
      <c r="I1205" s="331"/>
      <c r="J1205" s="316"/>
      <c r="K1205" s="331"/>
      <c r="L1205" s="316"/>
      <c r="M1205" s="7"/>
      <c r="N1205" s="217"/>
    </row>
    <row r="1206" spans="1:14" s="6" customFormat="1" ht="15" customHeight="1" x14ac:dyDescent="0.25">
      <c r="A1206" s="506"/>
      <c r="B1206" s="308"/>
      <c r="C1206" s="380"/>
      <c r="D1206" s="319"/>
      <c r="E1206" s="380"/>
      <c r="F1206" s="319"/>
      <c r="G1206" s="381"/>
      <c r="H1206" s="382"/>
      <c r="I1206" s="380"/>
      <c r="J1206" s="319"/>
      <c r="K1206" s="380"/>
      <c r="L1206" s="319"/>
      <c r="M1206" s="7"/>
      <c r="N1206" s="217"/>
    </row>
    <row r="1207" spans="1:14" s="6" customFormat="1" ht="15" customHeight="1" x14ac:dyDescent="0.25">
      <c r="A1207" s="492"/>
      <c r="B1207" s="308"/>
      <c r="C1207" s="210">
        <f>K1200+3</f>
        <v>42905</v>
      </c>
      <c r="D1207" s="222"/>
      <c r="E1207" s="213">
        <f>C1207+1</f>
        <v>42906</v>
      </c>
      <c r="F1207" s="223"/>
      <c r="G1207" s="213">
        <f>E1207+1</f>
        <v>42907</v>
      </c>
      <c r="H1207" s="222"/>
      <c r="I1207" s="213">
        <f>G1207+1</f>
        <v>42908</v>
      </c>
      <c r="J1207" s="222"/>
      <c r="K1207" s="213">
        <f>I1207+1</f>
        <v>42909</v>
      </c>
      <c r="L1207" s="222"/>
      <c r="M1207" s="7"/>
      <c r="N1207" s="206"/>
    </row>
    <row r="1208" spans="1:14" s="6" customFormat="1" ht="15" customHeight="1" x14ac:dyDescent="0.25">
      <c r="A1208" s="506"/>
      <c r="B1208" s="308"/>
      <c r="C1208" s="476"/>
      <c r="D1208" s="456"/>
      <c r="E1208" s="331"/>
      <c r="F1208" s="316"/>
      <c r="G1208" s="331"/>
      <c r="H1208" s="316"/>
      <c r="I1208" s="331"/>
      <c r="J1208" s="316"/>
      <c r="K1208" s="331"/>
      <c r="L1208" s="316"/>
      <c r="M1208" s="7"/>
      <c r="N1208" s="206"/>
    </row>
    <row r="1209" spans="1:14" s="6" customFormat="1" ht="15" customHeight="1" x14ac:dyDescent="0.25">
      <c r="A1209" s="506"/>
      <c r="B1209" s="308"/>
      <c r="C1209" s="331"/>
      <c r="D1209" s="316"/>
      <c r="E1209" s="331"/>
      <c r="F1209" s="316"/>
      <c r="G1209" s="331"/>
      <c r="H1209" s="379"/>
      <c r="I1209" s="331"/>
      <c r="J1209" s="316"/>
      <c r="K1209" s="331"/>
      <c r="L1209" s="316"/>
      <c r="M1209" s="7"/>
      <c r="N1209" s="206"/>
    </row>
    <row r="1210" spans="1:14" s="6" customFormat="1" ht="15" customHeight="1" x14ac:dyDescent="0.25">
      <c r="A1210" s="506"/>
      <c r="B1210" s="308"/>
      <c r="C1210" s="386"/>
      <c r="D1210" s="384"/>
      <c r="E1210" s="331"/>
      <c r="F1210" s="316"/>
      <c r="G1210" s="331"/>
      <c r="H1210" s="316"/>
      <c r="I1210" s="331"/>
      <c r="J1210" s="316"/>
      <c r="K1210" s="331"/>
      <c r="L1210" s="316"/>
      <c r="M1210" s="7"/>
      <c r="N1210" s="206"/>
    </row>
    <row r="1211" spans="1:14" s="6" customFormat="1" ht="15" customHeight="1" x14ac:dyDescent="0.25">
      <c r="A1211" s="506"/>
      <c r="B1211" s="308"/>
      <c r="C1211" s="331"/>
      <c r="D1211" s="316"/>
      <c r="E1211" s="331"/>
      <c r="F1211" s="316"/>
      <c r="G1211" s="331"/>
      <c r="H1211" s="316"/>
      <c r="I1211" s="331"/>
      <c r="J1211" s="316"/>
      <c r="K1211" s="331"/>
      <c r="L1211" s="316"/>
      <c r="M1211" s="7"/>
      <c r="N1211" s="206"/>
    </row>
    <row r="1212" spans="1:14" s="6" customFormat="1" ht="15" customHeight="1" x14ac:dyDescent="0.25">
      <c r="A1212" s="506"/>
      <c r="B1212" s="308"/>
      <c r="C1212" s="331"/>
      <c r="D1212" s="316"/>
      <c r="E1212" s="331"/>
      <c r="F1212" s="316"/>
      <c r="G1212" s="331"/>
      <c r="H1212" s="316"/>
      <c r="I1212" s="331"/>
      <c r="J1212" s="316"/>
      <c r="K1212" s="331"/>
      <c r="L1212" s="316"/>
      <c r="M1212" s="7"/>
      <c r="N1212" s="206"/>
    </row>
    <row r="1213" spans="1:14" s="6" customFormat="1" ht="15" customHeight="1" x14ac:dyDescent="0.25">
      <c r="A1213" s="506"/>
      <c r="B1213" s="308"/>
      <c r="C1213" s="380"/>
      <c r="D1213" s="319"/>
      <c r="E1213" s="380"/>
      <c r="F1213" s="319"/>
      <c r="G1213" s="381"/>
      <c r="H1213" s="382"/>
      <c r="I1213" s="380"/>
      <c r="J1213" s="319"/>
      <c r="K1213" s="380"/>
      <c r="L1213" s="319"/>
      <c r="M1213" s="7"/>
      <c r="N1213" s="206"/>
    </row>
    <row r="1214" spans="1:14" s="6" customFormat="1" ht="15" customHeight="1" x14ac:dyDescent="0.25">
      <c r="A1214" s="32"/>
      <c r="B1214" s="308" t="s">
        <v>19</v>
      </c>
      <c r="C1214" s="210">
        <f>K1207+3</f>
        <v>42912</v>
      </c>
      <c r="D1214" s="222"/>
      <c r="E1214" s="213">
        <f>C1214+1</f>
        <v>42913</v>
      </c>
      <c r="F1214" s="223"/>
      <c r="G1214" s="213">
        <f>E1214+1</f>
        <v>42914</v>
      </c>
      <c r="H1214" s="222"/>
      <c r="I1214" s="213">
        <f>G1214+1</f>
        <v>42915</v>
      </c>
      <c r="J1214" s="225"/>
      <c r="K1214" s="213">
        <f>I1214+1</f>
        <v>42916</v>
      </c>
      <c r="L1214" s="225"/>
      <c r="M1214" s="7"/>
      <c r="N1214" s="206"/>
    </row>
    <row r="1215" spans="1:14" s="6" customFormat="1" ht="15" customHeight="1" x14ac:dyDescent="0.25">
      <c r="A1215" s="32"/>
      <c r="B1215" s="308"/>
      <c r="C1215" s="317"/>
      <c r="D1215" s="316"/>
      <c r="E1215" s="331"/>
      <c r="F1215" s="316"/>
      <c r="G1215" s="331"/>
      <c r="H1215" s="316"/>
      <c r="I1215" s="331"/>
      <c r="J1215" s="316"/>
      <c r="K1215" s="331"/>
      <c r="L1215" s="316"/>
      <c r="M1215" s="7"/>
      <c r="N1215" s="206"/>
    </row>
    <row r="1216" spans="1:14" s="6" customFormat="1" ht="15" customHeight="1" x14ac:dyDescent="0.25">
      <c r="A1216" s="32"/>
      <c r="B1216" s="308"/>
      <c r="C1216" s="317"/>
      <c r="D1216" s="316"/>
      <c r="E1216" s="331"/>
      <c r="F1216" s="316"/>
      <c r="G1216" s="331"/>
      <c r="H1216" s="316"/>
      <c r="I1216" s="331"/>
      <c r="J1216" s="316"/>
      <c r="K1216" s="331"/>
      <c r="L1216" s="316"/>
      <c r="M1216" s="7"/>
      <c r="N1216" s="206"/>
    </row>
    <row r="1217" spans="1:14" s="6" customFormat="1" ht="15" customHeight="1" x14ac:dyDescent="0.25">
      <c r="A1217" s="32"/>
      <c r="B1217" s="308"/>
      <c r="C1217" s="383"/>
      <c r="D1217" s="384"/>
      <c r="E1217" s="331"/>
      <c r="F1217" s="316"/>
      <c r="G1217" s="331"/>
      <c r="H1217" s="316"/>
      <c r="I1217" s="331"/>
      <c r="J1217" s="316"/>
      <c r="K1217" s="331"/>
      <c r="L1217" s="316"/>
      <c r="M1217" s="7"/>
      <c r="N1217" s="206"/>
    </row>
    <row r="1218" spans="1:14" s="6" customFormat="1" ht="15" customHeight="1" x14ac:dyDescent="0.25">
      <c r="A1218" s="32"/>
      <c r="B1218" s="308"/>
      <c r="C1218" s="317"/>
      <c r="D1218" s="316"/>
      <c r="E1218" s="331"/>
      <c r="F1218" s="316"/>
      <c r="G1218" s="331"/>
      <c r="H1218" s="316"/>
      <c r="I1218" s="331"/>
      <c r="J1218" s="316"/>
      <c r="K1218" s="331"/>
      <c r="L1218" s="316"/>
      <c r="M1218" s="7"/>
      <c r="N1218" s="206"/>
    </row>
    <row r="1219" spans="1:14" s="6" customFormat="1" ht="15" customHeight="1" x14ac:dyDescent="0.25">
      <c r="A1219" s="32"/>
      <c r="B1219" s="308"/>
      <c r="C1219" s="317"/>
      <c r="D1219" s="316"/>
      <c r="E1219" s="331"/>
      <c r="F1219" s="316"/>
      <c r="G1219" s="331"/>
      <c r="H1219" s="316"/>
      <c r="I1219" s="331"/>
      <c r="J1219" s="316"/>
      <c r="K1219" s="331"/>
      <c r="L1219" s="316"/>
      <c r="M1219" s="7"/>
      <c r="N1219" s="206"/>
    </row>
    <row r="1220" spans="1:14" s="6" customFormat="1" ht="15" customHeight="1" x14ac:dyDescent="0.25">
      <c r="A1220" s="32"/>
      <c r="B1220" s="308"/>
      <c r="C1220" s="318"/>
      <c r="D1220" s="319"/>
      <c r="E1220" s="380"/>
      <c r="F1220" s="319"/>
      <c r="G1220" s="381"/>
      <c r="H1220" s="382"/>
      <c r="I1220" s="380"/>
      <c r="J1220" s="319"/>
      <c r="K1220" s="380"/>
      <c r="L1220" s="319"/>
      <c r="M1220" s="7"/>
      <c r="N1220" s="206"/>
    </row>
    <row r="1221" spans="1:14" s="6" customFormat="1" ht="15" customHeight="1" x14ac:dyDescent="0.25">
      <c r="A1221" s="32"/>
      <c r="B1221" s="517"/>
      <c r="C1221" s="210">
        <f>K1214+3</f>
        <v>42919</v>
      </c>
      <c r="D1221" s="222"/>
      <c r="E1221" s="213">
        <f>C1221+1</f>
        <v>42920</v>
      </c>
      <c r="F1221" s="223"/>
      <c r="G1221" s="213">
        <f>E1221+1</f>
        <v>42921</v>
      </c>
      <c r="H1221" s="222"/>
      <c r="I1221" s="213">
        <f>G1221+1</f>
        <v>42922</v>
      </c>
      <c r="J1221" s="222"/>
      <c r="K1221" s="213">
        <f>I1221+1</f>
        <v>42923</v>
      </c>
      <c r="L1221" s="222"/>
      <c r="M1221" s="7"/>
      <c r="N1221" s="206"/>
    </row>
    <row r="1222" spans="1:14" s="6" customFormat="1" ht="15" customHeight="1" x14ac:dyDescent="0.25">
      <c r="A1222" s="32"/>
      <c r="B1222" s="518"/>
      <c r="C1222" s="331"/>
      <c r="D1222" s="316"/>
      <c r="E1222" s="331"/>
      <c r="F1222" s="316"/>
      <c r="G1222" s="331"/>
      <c r="H1222" s="316"/>
      <c r="I1222" s="331"/>
      <c r="J1222" s="316"/>
      <c r="K1222" s="331"/>
      <c r="L1222" s="316"/>
      <c r="M1222" s="7"/>
      <c r="N1222" s="206"/>
    </row>
    <row r="1223" spans="1:14" s="6" customFormat="1" ht="15" customHeight="1" x14ac:dyDescent="0.25">
      <c r="A1223" s="32"/>
      <c r="B1223" s="518"/>
      <c r="C1223" s="331"/>
      <c r="D1223" s="316"/>
      <c r="E1223" s="331"/>
      <c r="F1223" s="316"/>
      <c r="G1223" s="331"/>
      <c r="H1223" s="316"/>
      <c r="I1223" s="451"/>
      <c r="J1223" s="433"/>
      <c r="K1223" s="451"/>
      <c r="L1223" s="433"/>
      <c r="M1223" s="7"/>
      <c r="N1223" s="206"/>
    </row>
    <row r="1224" spans="1:14" s="6" customFormat="1" ht="15" customHeight="1" x14ac:dyDescent="0.25">
      <c r="A1224" s="32"/>
      <c r="B1224" s="518"/>
      <c r="C1224" s="386" t="s">
        <v>168</v>
      </c>
      <c r="D1224" s="384"/>
      <c r="E1224" s="331"/>
      <c r="F1224" s="316"/>
      <c r="G1224" s="331"/>
      <c r="H1224" s="316"/>
      <c r="I1224" s="451"/>
      <c r="J1224" s="433"/>
      <c r="K1224" s="451"/>
      <c r="L1224" s="433"/>
      <c r="M1224" s="7"/>
      <c r="N1224" s="206"/>
    </row>
    <row r="1225" spans="1:14" s="6" customFormat="1" ht="15" customHeight="1" x14ac:dyDescent="0.25">
      <c r="A1225" s="32"/>
      <c r="B1225" s="518"/>
      <c r="C1225" s="331"/>
      <c r="D1225" s="316"/>
      <c r="E1225" s="331"/>
      <c r="F1225" s="316"/>
      <c r="G1225" s="331"/>
      <c r="H1225" s="316"/>
      <c r="I1225" s="331"/>
      <c r="J1225" s="316"/>
      <c r="K1225" s="331"/>
      <c r="L1225" s="316"/>
      <c r="M1225" s="7"/>
      <c r="N1225" s="206"/>
    </row>
    <row r="1226" spans="1:14" s="6" customFormat="1" ht="15" customHeight="1" x14ac:dyDescent="0.25">
      <c r="A1226" s="35"/>
      <c r="B1226" s="518"/>
      <c r="C1226" s="331"/>
      <c r="D1226" s="316"/>
      <c r="E1226" s="331"/>
      <c r="F1226" s="316"/>
      <c r="G1226" s="331"/>
      <c r="H1226" s="316"/>
      <c r="I1226" s="331"/>
      <c r="J1226" s="316"/>
      <c r="K1226" s="331"/>
      <c r="L1226" s="316"/>
      <c r="M1226" s="7"/>
      <c r="N1226" s="206"/>
    </row>
    <row r="1227" spans="1:14" s="6" customFormat="1" ht="15" customHeight="1" x14ac:dyDescent="0.25">
      <c r="A1227" s="32"/>
      <c r="B1227" s="518"/>
      <c r="C1227" s="318"/>
      <c r="D1227" s="319"/>
      <c r="E1227" s="380"/>
      <c r="F1227" s="319"/>
      <c r="G1227" s="381"/>
      <c r="H1227" s="382"/>
      <c r="I1227" s="380"/>
      <c r="J1227" s="319"/>
      <c r="K1227" s="380"/>
      <c r="L1227" s="319"/>
      <c r="M1227" s="7"/>
      <c r="N1227" s="206"/>
    </row>
    <row r="1228" spans="1:14" s="6" customFormat="1" ht="15" customHeight="1" x14ac:dyDescent="0.25">
      <c r="A1228" s="230"/>
      <c r="B1228" s="518"/>
      <c r="C1228" s="210">
        <f>K1221+3</f>
        <v>42926</v>
      </c>
      <c r="D1228" s="222"/>
      <c r="E1228" s="213">
        <f>C1228+1</f>
        <v>42927</v>
      </c>
      <c r="F1228" s="231"/>
      <c r="G1228" s="213">
        <f>E1228+1</f>
        <v>42928</v>
      </c>
      <c r="H1228" s="225"/>
      <c r="I1228" s="213">
        <f>G1228+1</f>
        <v>42929</v>
      </c>
      <c r="J1228" s="222"/>
      <c r="K1228" s="213">
        <f>I1228+1</f>
        <v>42930</v>
      </c>
      <c r="L1228" s="222"/>
      <c r="M1228" s="7"/>
      <c r="N1228" s="206"/>
    </row>
    <row r="1229" spans="1:14" s="6" customFormat="1" ht="15" customHeight="1" x14ac:dyDescent="0.25">
      <c r="A1229" s="230"/>
      <c r="B1229" s="518"/>
      <c r="C1229" s="476"/>
      <c r="D1229" s="522"/>
      <c r="E1229" s="331"/>
      <c r="F1229" s="316"/>
      <c r="G1229" s="331"/>
      <c r="H1229" s="316"/>
      <c r="I1229" s="331"/>
      <c r="J1229" s="316"/>
      <c r="K1229" s="331"/>
      <c r="L1229" s="316"/>
      <c r="M1229" s="7"/>
      <c r="N1229" s="206"/>
    </row>
    <row r="1230" spans="1:14" s="6" customFormat="1" ht="15" customHeight="1" x14ac:dyDescent="0.25">
      <c r="A1230" s="230"/>
      <c r="B1230" s="518"/>
      <c r="C1230" s="331"/>
      <c r="D1230" s="316"/>
      <c r="E1230" s="331"/>
      <c r="F1230" s="316"/>
      <c r="G1230" s="331"/>
      <c r="H1230" s="316"/>
      <c r="I1230" s="331"/>
      <c r="J1230" s="316"/>
      <c r="K1230" s="331"/>
      <c r="L1230" s="316"/>
      <c r="M1230" s="7"/>
      <c r="N1230" s="206"/>
    </row>
    <row r="1231" spans="1:14" s="6" customFormat="1" ht="15" customHeight="1" x14ac:dyDescent="0.25">
      <c r="A1231" s="230"/>
      <c r="B1231" s="518"/>
      <c r="C1231" s="386"/>
      <c r="D1231" s="384"/>
      <c r="E1231" s="331"/>
      <c r="F1231" s="379"/>
      <c r="G1231" s="331"/>
      <c r="H1231" s="316"/>
      <c r="I1231" s="331"/>
      <c r="J1231" s="316"/>
      <c r="K1231" s="331"/>
      <c r="L1231" s="316"/>
      <c r="M1231" s="7"/>
      <c r="N1231" s="206"/>
    </row>
    <row r="1232" spans="1:14" s="6" customFormat="1" ht="15" customHeight="1" x14ac:dyDescent="0.25">
      <c r="A1232" s="230"/>
      <c r="B1232" s="518"/>
      <c r="C1232" s="331"/>
      <c r="D1232" s="316"/>
      <c r="E1232" s="331"/>
      <c r="F1232" s="379"/>
      <c r="G1232" s="331"/>
      <c r="H1232" s="316"/>
      <c r="I1232" s="331"/>
      <c r="J1232" s="316"/>
      <c r="K1232" s="331"/>
      <c r="L1232" s="316"/>
      <c r="M1232" s="7"/>
      <c r="N1232" s="206"/>
    </row>
    <row r="1233" spans="1:14" s="6" customFormat="1" ht="15" customHeight="1" x14ac:dyDescent="0.25">
      <c r="A1233" s="230"/>
      <c r="B1233" s="518"/>
      <c r="C1233" s="331"/>
      <c r="D1233" s="316"/>
      <c r="E1233" s="331"/>
      <c r="F1233" s="316"/>
      <c r="G1233" s="331"/>
      <c r="H1233" s="316"/>
      <c r="I1233" s="331"/>
      <c r="J1233" s="316"/>
      <c r="K1233" s="331"/>
      <c r="L1233" s="316"/>
      <c r="M1233" s="7"/>
      <c r="N1233" s="217"/>
    </row>
    <row r="1234" spans="1:14" s="6" customFormat="1" ht="15" customHeight="1" x14ac:dyDescent="0.25">
      <c r="A1234" s="230"/>
      <c r="B1234" s="518"/>
      <c r="C1234" s="380"/>
      <c r="D1234" s="319"/>
      <c r="E1234" s="380"/>
      <c r="F1234" s="319"/>
      <c r="G1234" s="381"/>
      <c r="H1234" s="382"/>
      <c r="I1234" s="380"/>
      <c r="J1234" s="319"/>
      <c r="K1234" s="380"/>
      <c r="L1234" s="319"/>
      <c r="M1234" s="7"/>
      <c r="N1234" s="217"/>
    </row>
    <row r="1235" spans="1:14" s="6" customFormat="1" ht="15" customHeight="1" x14ac:dyDescent="0.25">
      <c r="A1235" s="230"/>
      <c r="B1235" s="518"/>
      <c r="C1235" s="210">
        <f>K1228+3</f>
        <v>42933</v>
      </c>
      <c r="D1235" s="222"/>
      <c r="E1235" s="213">
        <f>C1235+1</f>
        <v>42934</v>
      </c>
      <c r="F1235" s="223"/>
      <c r="G1235" s="213">
        <f>E1235+1</f>
        <v>42935</v>
      </c>
      <c r="H1235" s="222"/>
      <c r="I1235" s="213">
        <f>G1235+1</f>
        <v>42936</v>
      </c>
      <c r="J1235" s="225"/>
      <c r="K1235" s="213">
        <f>I1235+1</f>
        <v>42937</v>
      </c>
      <c r="L1235" s="225"/>
      <c r="M1235" s="7"/>
      <c r="N1235" s="206"/>
    </row>
    <row r="1236" spans="1:14" s="6" customFormat="1" ht="15" customHeight="1" x14ac:dyDescent="0.25">
      <c r="A1236" s="230"/>
      <c r="B1236" s="518"/>
      <c r="C1236" s="476"/>
      <c r="D1236" s="456"/>
      <c r="E1236" s="331"/>
      <c r="F1236" s="316"/>
      <c r="G1236" s="331"/>
      <c r="H1236" s="316"/>
      <c r="I1236" s="331"/>
      <c r="J1236" s="316"/>
      <c r="K1236" s="331"/>
      <c r="L1236" s="316"/>
      <c r="M1236" s="7"/>
      <c r="N1236" s="206"/>
    </row>
    <row r="1237" spans="1:14" s="6" customFormat="1" ht="15" customHeight="1" x14ac:dyDescent="0.25">
      <c r="A1237" s="230"/>
      <c r="B1237" s="518"/>
      <c r="C1237" s="331"/>
      <c r="D1237" s="316"/>
      <c r="E1237" s="331"/>
      <c r="F1237" s="316"/>
      <c r="G1237" s="331"/>
      <c r="H1237" s="316"/>
      <c r="I1237" s="331"/>
      <c r="J1237" s="316"/>
      <c r="K1237" s="331"/>
      <c r="L1237" s="316"/>
      <c r="M1237" s="7"/>
      <c r="N1237" s="206"/>
    </row>
    <row r="1238" spans="1:14" s="6" customFormat="1" ht="15" customHeight="1" x14ac:dyDescent="0.25">
      <c r="A1238" s="230"/>
      <c r="B1238" s="518"/>
      <c r="C1238" s="386" t="s">
        <v>168</v>
      </c>
      <c r="D1238" s="384"/>
      <c r="E1238" s="331"/>
      <c r="F1238" s="316"/>
      <c r="G1238" s="331"/>
      <c r="H1238" s="316"/>
      <c r="I1238" s="331"/>
      <c r="J1238" s="316"/>
      <c r="K1238" s="331"/>
      <c r="L1238" s="316"/>
      <c r="M1238" s="7"/>
      <c r="N1238" s="206"/>
    </row>
    <row r="1239" spans="1:14" s="6" customFormat="1" ht="15" customHeight="1" x14ac:dyDescent="0.25">
      <c r="A1239" s="230"/>
      <c r="B1239" s="518"/>
      <c r="C1239" s="331"/>
      <c r="D1239" s="316"/>
      <c r="E1239" s="331"/>
      <c r="F1239" s="316"/>
      <c r="G1239" s="331"/>
      <c r="H1239" s="316"/>
      <c r="I1239" s="331"/>
      <c r="J1239" s="316"/>
      <c r="K1239" s="331"/>
      <c r="L1239" s="316"/>
      <c r="M1239" s="7"/>
      <c r="N1239" s="206"/>
    </row>
    <row r="1240" spans="1:14" s="6" customFormat="1" ht="15" customHeight="1" x14ac:dyDescent="0.25">
      <c r="A1240" s="230"/>
      <c r="B1240" s="518"/>
      <c r="C1240" s="331"/>
      <c r="D1240" s="316"/>
      <c r="E1240" s="331"/>
      <c r="F1240" s="316"/>
      <c r="G1240" s="331"/>
      <c r="H1240" s="316"/>
      <c r="I1240" s="331"/>
      <c r="J1240" s="316"/>
      <c r="K1240" s="331"/>
      <c r="L1240" s="316"/>
      <c r="M1240" s="7"/>
      <c r="N1240" s="206"/>
    </row>
    <row r="1241" spans="1:14" s="6" customFormat="1" ht="15" customHeight="1" x14ac:dyDescent="0.25">
      <c r="A1241" s="230"/>
      <c r="B1241" s="518"/>
      <c r="C1241" s="380"/>
      <c r="D1241" s="319"/>
      <c r="E1241" s="380"/>
      <c r="F1241" s="319"/>
      <c r="G1241" s="381"/>
      <c r="H1241" s="382"/>
      <c r="I1241" s="380"/>
      <c r="J1241" s="319"/>
      <c r="K1241" s="380"/>
      <c r="L1241" s="319"/>
      <c r="M1241" s="7"/>
      <c r="N1241" s="206"/>
    </row>
    <row r="1242" spans="1:14" s="6" customFormat="1" ht="15" customHeight="1" x14ac:dyDescent="0.25">
      <c r="A1242" s="32"/>
      <c r="B1242" s="523"/>
      <c r="C1242" s="210">
        <f>K1235+3</f>
        <v>42940</v>
      </c>
      <c r="D1242" s="222"/>
      <c r="E1242" s="213">
        <f>C1242+1</f>
        <v>42941</v>
      </c>
      <c r="F1242" s="223"/>
      <c r="G1242" s="213">
        <f>E1242+1</f>
        <v>42942</v>
      </c>
      <c r="H1242" s="225"/>
      <c r="I1242" s="213">
        <f>G1242+1</f>
        <v>42943</v>
      </c>
      <c r="J1242" s="222"/>
      <c r="K1242" s="213">
        <f>I1242+1</f>
        <v>42944</v>
      </c>
      <c r="L1242" s="222"/>
      <c r="M1242" s="7"/>
      <c r="N1242" s="206"/>
    </row>
    <row r="1243" spans="1:14" s="6" customFormat="1" ht="15" customHeight="1" x14ac:dyDescent="0.25">
      <c r="A1243" s="32"/>
      <c r="B1243" s="524"/>
      <c r="C1243" s="317"/>
      <c r="D1243" s="316"/>
      <c r="E1243" s="331"/>
      <c r="F1243" s="316"/>
      <c r="G1243" s="331"/>
      <c r="H1243" s="316"/>
      <c r="I1243" s="451"/>
      <c r="J1243" s="433"/>
      <c r="K1243" s="451"/>
      <c r="L1243" s="433"/>
      <c r="M1243" s="7"/>
      <c r="N1243" s="206"/>
    </row>
    <row r="1244" spans="1:14" s="6" customFormat="1" ht="15" customHeight="1" x14ac:dyDescent="0.25">
      <c r="A1244" s="32"/>
      <c r="B1244" s="524"/>
      <c r="C1244" s="317"/>
      <c r="D1244" s="316"/>
      <c r="E1244" s="331"/>
      <c r="F1244" s="316"/>
      <c r="G1244" s="331"/>
      <c r="H1244" s="316"/>
      <c r="I1244" s="331"/>
      <c r="J1244" s="316"/>
      <c r="K1244" s="331"/>
      <c r="L1244" s="316"/>
      <c r="M1244" s="7"/>
      <c r="N1244" s="206"/>
    </row>
    <row r="1245" spans="1:14" s="6" customFormat="1" ht="15" customHeight="1" x14ac:dyDescent="0.25">
      <c r="A1245" s="32"/>
      <c r="B1245" s="524"/>
      <c r="C1245" s="383"/>
      <c r="D1245" s="384"/>
      <c r="E1245" s="331"/>
      <c r="F1245" s="316"/>
      <c r="G1245" s="331"/>
      <c r="H1245" s="316"/>
      <c r="I1245" s="331"/>
      <c r="J1245" s="316"/>
      <c r="K1245" s="331"/>
      <c r="L1245" s="316"/>
      <c r="M1245" s="7"/>
      <c r="N1245" s="206"/>
    </row>
    <row r="1246" spans="1:14" s="6" customFormat="1" ht="15" customHeight="1" x14ac:dyDescent="0.25">
      <c r="A1246" s="32"/>
      <c r="B1246" s="524"/>
      <c r="C1246" s="317"/>
      <c r="D1246" s="316"/>
      <c r="E1246" s="331"/>
      <c r="F1246" s="316"/>
      <c r="G1246" s="331"/>
      <c r="H1246" s="316"/>
      <c r="I1246" s="331"/>
      <c r="J1246" s="316"/>
      <c r="K1246" s="331"/>
      <c r="L1246" s="316"/>
      <c r="M1246" s="7"/>
      <c r="N1246" s="206"/>
    </row>
    <row r="1247" spans="1:14" s="6" customFormat="1" ht="15" customHeight="1" x14ac:dyDescent="0.25">
      <c r="A1247" s="32"/>
      <c r="B1247" s="524"/>
      <c r="C1247" s="317"/>
      <c r="D1247" s="316"/>
      <c r="E1247" s="331"/>
      <c r="F1247" s="316"/>
      <c r="G1247" s="331"/>
      <c r="H1247" s="316"/>
      <c r="I1247" s="331"/>
      <c r="J1247" s="316"/>
      <c r="K1247" s="331"/>
      <c r="L1247" s="316"/>
      <c r="M1247" s="7"/>
      <c r="N1247" s="206"/>
    </row>
    <row r="1248" spans="1:14" s="6" customFormat="1" ht="15" customHeight="1" x14ac:dyDescent="0.25">
      <c r="A1248" s="32"/>
      <c r="B1248" s="524"/>
      <c r="C1248" s="318"/>
      <c r="D1248" s="319"/>
      <c r="E1248" s="380"/>
      <c r="F1248" s="319"/>
      <c r="G1248" s="381"/>
      <c r="H1248" s="382"/>
      <c r="I1248" s="380"/>
      <c r="J1248" s="319"/>
      <c r="K1248" s="380"/>
      <c r="L1248" s="319"/>
      <c r="M1248" s="7"/>
      <c r="N1248" s="206"/>
    </row>
    <row r="1249" spans="1:14" s="6" customFormat="1" ht="15" customHeight="1" x14ac:dyDescent="0.25">
      <c r="A1249" s="32"/>
      <c r="B1249" s="518" t="s">
        <v>18</v>
      </c>
      <c r="C1249" s="210">
        <f>K1242+3</f>
        <v>42947</v>
      </c>
      <c r="D1249" s="222"/>
      <c r="E1249" s="213">
        <f>C1249+1</f>
        <v>42948</v>
      </c>
      <c r="F1249" s="223"/>
      <c r="G1249" s="213">
        <f>E1249+1</f>
        <v>42949</v>
      </c>
      <c r="H1249" s="222"/>
      <c r="I1249" s="213">
        <f>G1249+1</f>
        <v>42950</v>
      </c>
      <c r="J1249" s="222"/>
      <c r="K1249" s="213">
        <f>I1249+1</f>
        <v>42951</v>
      </c>
      <c r="L1249" s="222"/>
      <c r="M1249" s="7"/>
      <c r="N1249" s="206"/>
    </row>
    <row r="1250" spans="1:14" s="6" customFormat="1" ht="15" customHeight="1" x14ac:dyDescent="0.25">
      <c r="A1250" s="32"/>
      <c r="B1250" s="518"/>
      <c r="C1250" s="317"/>
      <c r="D1250" s="316"/>
      <c r="E1250" s="331"/>
      <c r="F1250" s="316"/>
      <c r="G1250" s="331"/>
      <c r="H1250" s="316"/>
      <c r="I1250" s="331"/>
      <c r="J1250" s="316"/>
      <c r="K1250" s="331"/>
      <c r="L1250" s="316"/>
      <c r="M1250" s="7"/>
      <c r="N1250" s="206"/>
    </row>
    <row r="1251" spans="1:14" s="6" customFormat="1" ht="15" customHeight="1" x14ac:dyDescent="0.25">
      <c r="A1251" s="32"/>
      <c r="B1251" s="518"/>
      <c r="C1251" s="317"/>
      <c r="D1251" s="316"/>
      <c r="E1251" s="331"/>
      <c r="F1251" s="316"/>
      <c r="G1251" s="331"/>
      <c r="H1251" s="316"/>
      <c r="I1251" s="331"/>
      <c r="J1251" s="316"/>
      <c r="K1251" s="331"/>
      <c r="L1251" s="316"/>
      <c r="M1251" s="7"/>
      <c r="N1251" s="206"/>
    </row>
    <row r="1252" spans="1:14" s="6" customFormat="1" ht="15" customHeight="1" x14ac:dyDescent="0.25">
      <c r="A1252" s="32"/>
      <c r="B1252" s="518"/>
      <c r="C1252" s="383"/>
      <c r="D1252" s="384"/>
      <c r="E1252" s="331"/>
      <c r="F1252" s="316"/>
      <c r="G1252" s="331"/>
      <c r="H1252" s="316"/>
      <c r="I1252" s="331"/>
      <c r="J1252" s="316"/>
      <c r="K1252" s="331"/>
      <c r="L1252" s="316"/>
      <c r="M1252" s="7"/>
      <c r="N1252" s="206"/>
    </row>
    <row r="1253" spans="1:14" s="6" customFormat="1" ht="15" customHeight="1" x14ac:dyDescent="0.25">
      <c r="A1253" s="32"/>
      <c r="B1253" s="518"/>
      <c r="C1253" s="317"/>
      <c r="D1253" s="316"/>
      <c r="E1253" s="331"/>
      <c r="F1253" s="316"/>
      <c r="G1253" s="331"/>
      <c r="H1253" s="316"/>
      <c r="I1253" s="331"/>
      <c r="J1253" s="316"/>
      <c r="K1253" s="331"/>
      <c r="L1253" s="316"/>
      <c r="M1253" s="7"/>
      <c r="N1253" s="206"/>
    </row>
    <row r="1254" spans="1:14" s="6" customFormat="1" ht="15" customHeight="1" x14ac:dyDescent="0.25">
      <c r="A1254" s="32"/>
      <c r="B1254" s="518"/>
      <c r="C1254" s="317"/>
      <c r="D1254" s="316"/>
      <c r="E1254" s="331"/>
      <c r="F1254" s="316"/>
      <c r="G1254" s="331"/>
      <c r="H1254" s="316"/>
      <c r="I1254" s="331"/>
      <c r="J1254" s="316"/>
      <c r="K1254" s="331"/>
      <c r="L1254" s="316"/>
      <c r="M1254" s="7"/>
      <c r="N1254" s="206"/>
    </row>
    <row r="1255" spans="1:14" s="6" customFormat="1" ht="15" customHeight="1" x14ac:dyDescent="0.25">
      <c r="A1255" s="32"/>
      <c r="B1255" s="518"/>
      <c r="C1255" s="318"/>
      <c r="D1255" s="319"/>
      <c r="E1255" s="380"/>
      <c r="F1255" s="319"/>
      <c r="G1255" s="381"/>
      <c r="H1255" s="382"/>
      <c r="I1255" s="380"/>
      <c r="J1255" s="319"/>
      <c r="K1255" s="380"/>
      <c r="L1255" s="319"/>
      <c r="M1255" s="7"/>
      <c r="N1255" s="206"/>
    </row>
    <row r="1256" spans="1:14" s="6" customFormat="1" ht="15" customHeight="1" x14ac:dyDescent="0.25">
      <c r="A1256" s="32"/>
      <c r="B1256" s="510"/>
      <c r="C1256" s="210">
        <f>K1249+3</f>
        <v>42954</v>
      </c>
      <c r="D1256" s="222"/>
      <c r="E1256" s="213">
        <f>C1256+1</f>
        <v>42955</v>
      </c>
      <c r="F1256" s="223"/>
      <c r="G1256" s="213">
        <f>E1256+1</f>
        <v>42956</v>
      </c>
      <c r="H1256" s="225"/>
      <c r="I1256" s="213">
        <f>G1256+1</f>
        <v>42957</v>
      </c>
      <c r="J1256" s="222"/>
      <c r="K1256" s="213">
        <f>I1256+1</f>
        <v>42958</v>
      </c>
      <c r="L1256" s="222"/>
      <c r="M1256" s="7"/>
      <c r="N1256" s="206"/>
    </row>
    <row r="1257" spans="1:14" s="6" customFormat="1" ht="15" customHeight="1" x14ac:dyDescent="0.25">
      <c r="A1257" s="32"/>
      <c r="B1257" s="308"/>
      <c r="C1257" s="331"/>
      <c r="D1257" s="316"/>
      <c r="E1257" s="331"/>
      <c r="F1257" s="316"/>
      <c r="G1257" s="331"/>
      <c r="H1257" s="316"/>
      <c r="I1257" s="331"/>
      <c r="J1257" s="316"/>
      <c r="K1257" s="331"/>
      <c r="L1257" s="316"/>
      <c r="M1257" s="7"/>
      <c r="N1257" s="206"/>
    </row>
    <row r="1258" spans="1:14" s="6" customFormat="1" ht="15" customHeight="1" x14ac:dyDescent="0.25">
      <c r="A1258" s="32"/>
      <c r="B1258" s="308"/>
      <c r="C1258" s="331"/>
      <c r="D1258" s="316"/>
      <c r="E1258" s="331"/>
      <c r="F1258" s="316"/>
      <c r="G1258" s="331"/>
      <c r="H1258" s="316"/>
      <c r="I1258" s="525"/>
      <c r="J1258" s="328"/>
      <c r="K1258" s="525"/>
      <c r="L1258" s="328"/>
      <c r="M1258" s="7"/>
      <c r="N1258" s="206"/>
    </row>
    <row r="1259" spans="1:14" s="6" customFormat="1" ht="15" customHeight="1" x14ac:dyDescent="0.25">
      <c r="A1259" s="32"/>
      <c r="B1259" s="308"/>
      <c r="C1259" s="386"/>
      <c r="D1259" s="384"/>
      <c r="E1259" s="331"/>
      <c r="F1259" s="316"/>
      <c r="G1259" s="331"/>
      <c r="H1259" s="316"/>
      <c r="I1259" s="331"/>
      <c r="J1259" s="316"/>
      <c r="K1259" s="331"/>
      <c r="L1259" s="316"/>
      <c r="M1259" s="7"/>
      <c r="N1259" s="206"/>
    </row>
    <row r="1260" spans="1:14" s="6" customFormat="1" ht="15" customHeight="1" x14ac:dyDescent="0.25">
      <c r="A1260" s="32"/>
      <c r="B1260" s="308"/>
      <c r="C1260" s="331"/>
      <c r="D1260" s="316"/>
      <c r="E1260" s="331"/>
      <c r="F1260" s="316"/>
      <c r="G1260" s="331"/>
      <c r="H1260" s="316"/>
      <c r="I1260" s="331"/>
      <c r="J1260" s="316"/>
      <c r="K1260" s="331"/>
      <c r="L1260" s="316"/>
      <c r="M1260" s="7"/>
      <c r="N1260" s="206"/>
    </row>
    <row r="1261" spans="1:14" s="6" customFormat="1" ht="15" customHeight="1" x14ac:dyDescent="0.25">
      <c r="A1261" s="32"/>
      <c r="B1261" s="308"/>
      <c r="C1261" s="331"/>
      <c r="D1261" s="316"/>
      <c r="E1261" s="331"/>
      <c r="F1261" s="316"/>
      <c r="G1261" s="331"/>
      <c r="H1261" s="316"/>
      <c r="I1261" s="331"/>
      <c r="J1261" s="316"/>
      <c r="K1261" s="331"/>
      <c r="L1261" s="316"/>
      <c r="M1261" s="7"/>
      <c r="N1261" s="206"/>
    </row>
    <row r="1262" spans="1:14" s="6" customFormat="1" ht="15" customHeight="1" x14ac:dyDescent="0.25">
      <c r="A1262" s="32"/>
      <c r="B1262" s="308"/>
      <c r="C1262" s="318"/>
      <c r="D1262" s="319"/>
      <c r="E1262" s="380"/>
      <c r="F1262" s="319"/>
      <c r="G1262" s="381"/>
      <c r="H1262" s="382"/>
      <c r="I1262" s="380"/>
      <c r="J1262" s="319"/>
      <c r="K1262" s="380"/>
      <c r="L1262" s="319"/>
      <c r="M1262" s="7"/>
      <c r="N1262" s="206"/>
    </row>
    <row r="1263" spans="1:14" s="6" customFormat="1" ht="15" customHeight="1" x14ac:dyDescent="0.25">
      <c r="A1263" s="492"/>
      <c r="B1263" s="308"/>
      <c r="C1263" s="210">
        <f>K1256+3</f>
        <v>42961</v>
      </c>
      <c r="D1263" s="225"/>
      <c r="E1263" s="213">
        <f>C1263+1</f>
        <v>42962</v>
      </c>
      <c r="F1263" s="223"/>
      <c r="G1263" s="213">
        <f>E1263+1</f>
        <v>42963</v>
      </c>
      <c r="H1263" s="225"/>
      <c r="I1263" s="213">
        <f>G1263+1</f>
        <v>42964</v>
      </c>
      <c r="J1263" s="225"/>
      <c r="K1263" s="213">
        <f>I1263+1</f>
        <v>42965</v>
      </c>
      <c r="L1263" s="225"/>
      <c r="M1263" s="7"/>
      <c r="N1263" s="206"/>
    </row>
    <row r="1264" spans="1:14" s="6" customFormat="1" ht="15" customHeight="1" x14ac:dyDescent="0.25">
      <c r="A1264" s="506"/>
      <c r="B1264" s="308"/>
      <c r="C1264" s="476"/>
      <c r="D1264" s="456"/>
      <c r="E1264" s="459"/>
      <c r="F1264" s="316"/>
      <c r="G1264" s="459"/>
      <c r="H1264" s="316"/>
      <c r="I1264" s="331"/>
      <c r="J1264" s="316"/>
      <c r="K1264" s="331"/>
      <c r="L1264" s="316"/>
      <c r="M1264" s="7"/>
      <c r="N1264" s="206"/>
    </row>
    <row r="1265" spans="1:14" s="6" customFormat="1" ht="15" customHeight="1" x14ac:dyDescent="0.25">
      <c r="A1265" s="506"/>
      <c r="B1265" s="308"/>
      <c r="C1265" s="331"/>
      <c r="D1265" s="316"/>
      <c r="E1265" s="331"/>
      <c r="F1265" s="316"/>
      <c r="G1265" s="525"/>
      <c r="H1265" s="328"/>
      <c r="I1265" s="331"/>
      <c r="J1265" s="316"/>
      <c r="K1265" s="331"/>
      <c r="L1265" s="316"/>
      <c r="M1265" s="7"/>
      <c r="N1265" s="206"/>
    </row>
    <row r="1266" spans="1:14" s="6" customFormat="1" ht="15" customHeight="1" x14ac:dyDescent="0.25">
      <c r="A1266" s="506"/>
      <c r="B1266" s="308"/>
      <c r="C1266" s="386" t="s">
        <v>168</v>
      </c>
      <c r="D1266" s="384"/>
      <c r="E1266" s="331"/>
      <c r="F1266" s="316"/>
      <c r="G1266" s="331"/>
      <c r="H1266" s="316"/>
      <c r="I1266" s="331"/>
      <c r="J1266" s="316"/>
      <c r="K1266" s="331"/>
      <c r="L1266" s="316"/>
      <c r="M1266" s="7"/>
      <c r="N1266" s="206"/>
    </row>
    <row r="1267" spans="1:14" s="6" customFormat="1" ht="15" customHeight="1" x14ac:dyDescent="0.25">
      <c r="A1267" s="506"/>
      <c r="B1267" s="308"/>
      <c r="C1267" s="331"/>
      <c r="D1267" s="316"/>
      <c r="E1267" s="331"/>
      <c r="F1267" s="316"/>
      <c r="G1267" s="331"/>
      <c r="H1267" s="316"/>
      <c r="I1267" s="331"/>
      <c r="J1267" s="379"/>
      <c r="K1267" s="378"/>
      <c r="L1267" s="379"/>
      <c r="M1267" s="7"/>
      <c r="N1267" s="206"/>
    </row>
    <row r="1268" spans="1:14" s="6" customFormat="1" ht="15" customHeight="1" x14ac:dyDescent="0.25">
      <c r="A1268" s="506"/>
      <c r="B1268" s="308"/>
      <c r="C1268" s="459"/>
      <c r="D1268" s="316"/>
      <c r="E1268" s="459"/>
      <c r="F1268" s="316"/>
      <c r="G1268" s="459"/>
      <c r="H1268" s="316"/>
      <c r="I1268" s="331"/>
      <c r="J1268" s="316"/>
      <c r="K1268" s="331"/>
      <c r="L1268" s="316"/>
      <c r="M1268" s="7"/>
      <c r="N1268" s="217"/>
    </row>
    <row r="1269" spans="1:14" s="6" customFormat="1" ht="15" customHeight="1" x14ac:dyDescent="0.25">
      <c r="A1269" s="506"/>
      <c r="B1269" s="308"/>
      <c r="C1269" s="532"/>
      <c r="D1269" s="526"/>
      <c r="E1269" s="462"/>
      <c r="F1269" s="319"/>
      <c r="G1269" s="381"/>
      <c r="H1269" s="382"/>
      <c r="I1269" s="380"/>
      <c r="J1269" s="319"/>
      <c r="K1269" s="380"/>
      <c r="L1269" s="319"/>
      <c r="M1269" s="7"/>
      <c r="N1269" s="217"/>
    </row>
    <row r="1270" spans="1:14" s="6" customFormat="1" ht="15" customHeight="1" x14ac:dyDescent="0.25">
      <c r="A1270" s="492"/>
      <c r="B1270" s="308" t="s">
        <v>17</v>
      </c>
      <c r="C1270" s="210">
        <f>K1263+3</f>
        <v>42968</v>
      </c>
      <c r="D1270" s="225"/>
      <c r="E1270" s="213">
        <f>C1270+1</f>
        <v>42969</v>
      </c>
      <c r="F1270" s="223"/>
      <c r="G1270" s="213">
        <f>E1270+1</f>
        <v>42970</v>
      </c>
      <c r="H1270" s="225"/>
      <c r="I1270" s="213">
        <f>G1270+1</f>
        <v>42971</v>
      </c>
      <c r="J1270" s="222"/>
      <c r="K1270" s="213">
        <f>I1270+1</f>
        <v>42972</v>
      </c>
      <c r="L1270" s="222"/>
      <c r="M1270" s="7"/>
      <c r="N1270" s="206"/>
    </row>
    <row r="1271" spans="1:14" s="6" customFormat="1" ht="15" customHeight="1" x14ac:dyDescent="0.25">
      <c r="A1271" s="506"/>
      <c r="B1271" s="308"/>
      <c r="C1271" s="476"/>
      <c r="D1271" s="456"/>
      <c r="E1271" s="331"/>
      <c r="F1271" s="316"/>
      <c r="G1271" s="331"/>
      <c r="H1271" s="316"/>
      <c r="I1271" s="331"/>
      <c r="J1271" s="316"/>
      <c r="K1271" s="331"/>
      <c r="L1271" s="316"/>
      <c r="M1271" s="7"/>
      <c r="N1271" s="206"/>
    </row>
    <row r="1272" spans="1:14" s="6" customFormat="1" ht="15" customHeight="1" x14ac:dyDescent="0.25">
      <c r="A1272" s="506"/>
      <c r="B1272" s="308"/>
      <c r="C1272" s="331"/>
      <c r="D1272" s="316"/>
      <c r="E1272" s="331"/>
      <c r="F1272" s="316"/>
      <c r="G1272" s="331"/>
      <c r="H1272" s="316"/>
      <c r="I1272" s="331"/>
      <c r="J1272" s="316"/>
      <c r="K1272" s="331"/>
      <c r="L1272" s="316"/>
      <c r="M1272" s="7"/>
      <c r="N1272" s="206"/>
    </row>
    <row r="1273" spans="1:14" s="6" customFormat="1" ht="15" customHeight="1" x14ac:dyDescent="0.25">
      <c r="A1273" s="506"/>
      <c r="B1273" s="308"/>
      <c r="C1273" s="386" t="s">
        <v>168</v>
      </c>
      <c r="D1273" s="384"/>
      <c r="E1273" s="331"/>
      <c r="F1273" s="316"/>
      <c r="G1273" s="331"/>
      <c r="H1273" s="316"/>
      <c r="I1273" s="331"/>
      <c r="J1273" s="316"/>
      <c r="K1273" s="331"/>
      <c r="L1273" s="316"/>
      <c r="M1273" s="7"/>
      <c r="N1273" s="206"/>
    </row>
    <row r="1274" spans="1:14" s="6" customFormat="1" ht="15" customHeight="1" x14ac:dyDescent="0.25">
      <c r="A1274" s="506"/>
      <c r="B1274" s="308"/>
      <c r="C1274" s="331"/>
      <c r="D1274" s="316"/>
      <c r="E1274" s="459"/>
      <c r="F1274" s="316"/>
      <c r="G1274" s="331"/>
      <c r="H1274" s="316"/>
      <c r="I1274" s="331"/>
      <c r="J1274" s="316"/>
      <c r="K1274" s="331"/>
      <c r="L1274" s="316"/>
      <c r="M1274" s="7"/>
      <c r="N1274" s="206"/>
    </row>
    <row r="1275" spans="1:14" s="6" customFormat="1" ht="15" customHeight="1" x14ac:dyDescent="0.25">
      <c r="A1275" s="506"/>
      <c r="B1275" s="308"/>
      <c r="C1275" s="331"/>
      <c r="D1275" s="316"/>
      <c r="E1275" s="331"/>
      <c r="F1275" s="316"/>
      <c r="G1275" s="331"/>
      <c r="H1275" s="316"/>
      <c r="I1275" s="331"/>
      <c r="J1275" s="316"/>
      <c r="K1275" s="331"/>
      <c r="L1275" s="316"/>
      <c r="M1275" s="7"/>
      <c r="N1275" s="206"/>
    </row>
    <row r="1276" spans="1:14" s="6" customFormat="1" ht="15" customHeight="1" x14ac:dyDescent="0.25">
      <c r="A1276" s="506"/>
      <c r="B1276" s="308"/>
      <c r="C1276" s="380"/>
      <c r="D1276" s="319"/>
      <c r="E1276" s="380"/>
      <c r="F1276" s="319"/>
      <c r="G1276" s="381"/>
      <c r="H1276" s="382"/>
      <c r="I1276" s="380"/>
      <c r="J1276" s="319"/>
      <c r="K1276" s="380"/>
      <c r="L1276" s="319"/>
      <c r="M1276" s="7"/>
      <c r="N1276" s="206"/>
    </row>
    <row r="1277" spans="1:14" s="6" customFormat="1" ht="15" customHeight="1" x14ac:dyDescent="0.25">
      <c r="A1277" s="32"/>
      <c r="B1277" s="308"/>
      <c r="C1277" s="210">
        <f>K1270+3</f>
        <v>42975</v>
      </c>
      <c r="D1277" s="222"/>
      <c r="E1277" s="213">
        <f>C1277+1</f>
        <v>42976</v>
      </c>
      <c r="F1277" s="223"/>
      <c r="G1277" s="213">
        <f>E1277+1</f>
        <v>42977</v>
      </c>
      <c r="H1277" s="225"/>
      <c r="I1277" s="213">
        <f>G1277+1</f>
        <v>42978</v>
      </c>
      <c r="J1277" s="225"/>
      <c r="K1277" s="213">
        <f>I1277+1</f>
        <v>42979</v>
      </c>
      <c r="L1277" s="225"/>
      <c r="M1277" s="7"/>
      <c r="N1277" s="206"/>
    </row>
    <row r="1278" spans="1:14" s="6" customFormat="1" ht="15" customHeight="1" x14ac:dyDescent="0.25">
      <c r="A1278" s="32"/>
      <c r="B1278" s="308"/>
      <c r="C1278" s="317"/>
      <c r="D1278" s="316"/>
      <c r="E1278" s="331"/>
      <c r="F1278" s="316"/>
      <c r="G1278" s="331"/>
      <c r="H1278" s="316"/>
      <c r="I1278" s="331"/>
      <c r="J1278" s="316"/>
      <c r="K1278" s="331"/>
      <c r="L1278" s="316"/>
      <c r="M1278" s="7"/>
      <c r="N1278" s="206"/>
    </row>
    <row r="1279" spans="1:14" s="6" customFormat="1" ht="15" customHeight="1" x14ac:dyDescent="0.25">
      <c r="A1279" s="32"/>
      <c r="B1279" s="308"/>
      <c r="C1279" s="472"/>
      <c r="D1279" s="384"/>
      <c r="E1279" s="331"/>
      <c r="F1279" s="316"/>
      <c r="G1279" s="331"/>
      <c r="H1279" s="316"/>
      <c r="I1279" s="331"/>
      <c r="J1279" s="316"/>
      <c r="K1279" s="331"/>
      <c r="L1279" s="316"/>
      <c r="M1279" s="7"/>
      <c r="N1279" s="206"/>
    </row>
    <row r="1280" spans="1:14" s="6" customFormat="1" ht="15" customHeight="1" x14ac:dyDescent="0.25">
      <c r="A1280" s="32"/>
      <c r="B1280" s="308"/>
      <c r="C1280" s="472" t="s">
        <v>168</v>
      </c>
      <c r="D1280" s="384"/>
      <c r="E1280" s="459"/>
      <c r="F1280" s="316"/>
      <c r="G1280" s="331"/>
      <c r="H1280" s="316"/>
      <c r="I1280" s="331"/>
      <c r="J1280" s="316"/>
      <c r="K1280" s="331"/>
      <c r="L1280" s="316"/>
      <c r="M1280" s="7"/>
      <c r="N1280" s="206"/>
    </row>
    <row r="1281" spans="1:14" s="6" customFormat="1" ht="15" customHeight="1" x14ac:dyDescent="0.25">
      <c r="A1281" s="32"/>
      <c r="B1281" s="308"/>
      <c r="C1281" s="317"/>
      <c r="D1281" s="316"/>
      <c r="E1281" s="459"/>
      <c r="F1281" s="316"/>
      <c r="G1281" s="331"/>
      <c r="H1281" s="316"/>
      <c r="I1281" s="331"/>
      <c r="J1281" s="316"/>
      <c r="K1281" s="331"/>
      <c r="L1281" s="316"/>
      <c r="M1281" s="7"/>
      <c r="N1281" s="206"/>
    </row>
    <row r="1282" spans="1:14" s="6" customFormat="1" ht="15" customHeight="1" x14ac:dyDescent="0.25">
      <c r="A1282" s="32"/>
      <c r="B1282" s="308"/>
      <c r="C1282" s="317"/>
      <c r="D1282" s="316"/>
      <c r="E1282" s="459"/>
      <c r="F1282" s="316"/>
      <c r="G1282" s="331"/>
      <c r="H1282" s="316"/>
      <c r="I1282" s="331"/>
      <c r="J1282" s="316"/>
      <c r="K1282" s="331"/>
      <c r="L1282" s="316"/>
      <c r="M1282" s="7"/>
      <c r="N1282" s="206"/>
    </row>
    <row r="1283" spans="1:14" s="6" customFormat="1" ht="15" customHeight="1" x14ac:dyDescent="0.25">
      <c r="A1283" s="32"/>
      <c r="B1283" s="309"/>
      <c r="C1283" s="317"/>
      <c r="D1283" s="316"/>
      <c r="E1283" s="380"/>
      <c r="F1283" s="319"/>
      <c r="G1283" s="381"/>
      <c r="H1283" s="382"/>
      <c r="I1283" s="380"/>
      <c r="J1283" s="319"/>
      <c r="K1283" s="380"/>
      <c r="L1283" s="319"/>
      <c r="M1283" s="7"/>
      <c r="N1283" s="206"/>
    </row>
    <row r="1284" spans="1:14" s="6" customFormat="1" ht="15" customHeight="1" x14ac:dyDescent="0.25">
      <c r="A1284" s="32"/>
      <c r="B1284" s="517"/>
      <c r="C1284" s="213">
        <f>K1277+3</f>
        <v>42982</v>
      </c>
      <c r="D1284" s="225"/>
      <c r="E1284" s="213">
        <f>C1284+1</f>
        <v>42983</v>
      </c>
      <c r="F1284" s="231"/>
      <c r="G1284" s="213">
        <f>E1284+1</f>
        <v>42984</v>
      </c>
      <c r="H1284" s="225"/>
      <c r="I1284" s="213">
        <f>G1284+1</f>
        <v>42985</v>
      </c>
      <c r="J1284" s="222"/>
      <c r="K1284" s="213">
        <f>I1284+1</f>
        <v>42986</v>
      </c>
      <c r="L1284" s="222"/>
      <c r="M1284" s="7"/>
      <c r="N1284" s="206"/>
    </row>
    <row r="1285" spans="1:14" s="6" customFormat="1" ht="15" customHeight="1" x14ac:dyDescent="0.25">
      <c r="A1285" s="32"/>
      <c r="B1285" s="518"/>
      <c r="C1285" s="331"/>
      <c r="D1285" s="316"/>
      <c r="E1285" s="331"/>
      <c r="F1285" s="316"/>
      <c r="G1285" s="331"/>
      <c r="H1285" s="316"/>
      <c r="I1285" s="331"/>
      <c r="J1285" s="316"/>
      <c r="K1285" s="331"/>
      <c r="L1285" s="316"/>
      <c r="M1285" s="7"/>
      <c r="N1285" s="206"/>
    </row>
    <row r="1286" spans="1:14" s="6" customFormat="1" ht="15" customHeight="1" x14ac:dyDescent="0.25">
      <c r="A1286" s="32"/>
      <c r="B1286" s="518"/>
      <c r="C1286" s="331"/>
      <c r="D1286" s="316"/>
      <c r="E1286" s="331"/>
      <c r="F1286" s="316"/>
      <c r="G1286" s="331"/>
      <c r="H1286" s="316"/>
      <c r="I1286" s="331"/>
      <c r="J1286" s="316"/>
      <c r="K1286" s="331"/>
      <c r="L1286" s="316"/>
      <c r="M1286" s="7"/>
      <c r="N1286" s="206"/>
    </row>
    <row r="1287" spans="1:14" s="6" customFormat="1" ht="15" customHeight="1" x14ac:dyDescent="0.25">
      <c r="A1287" s="32"/>
      <c r="B1287" s="518"/>
      <c r="C1287" s="386"/>
      <c r="D1287" s="384"/>
      <c r="E1287" s="331"/>
      <c r="F1287" s="316"/>
      <c r="G1287" s="331"/>
      <c r="H1287" s="316"/>
      <c r="I1287" s="331"/>
      <c r="J1287" s="316"/>
      <c r="K1287" s="331"/>
      <c r="L1287" s="316"/>
      <c r="M1287" s="7"/>
      <c r="N1287" s="206"/>
    </row>
    <row r="1288" spans="1:14" s="6" customFormat="1" ht="15" customHeight="1" x14ac:dyDescent="0.25">
      <c r="A1288" s="32"/>
      <c r="B1288" s="518"/>
      <c r="C1288" s="331"/>
      <c r="D1288" s="316"/>
      <c r="E1288" s="331"/>
      <c r="F1288" s="316"/>
      <c r="G1288" s="331"/>
      <c r="H1288" s="316"/>
      <c r="I1288" s="331"/>
      <c r="J1288" s="316"/>
      <c r="K1288" s="331"/>
      <c r="L1288" s="316"/>
      <c r="M1288" s="7"/>
      <c r="N1288" s="206"/>
    </row>
    <row r="1289" spans="1:14" s="6" customFormat="1" ht="15" customHeight="1" x14ac:dyDescent="0.25">
      <c r="A1289" s="32"/>
      <c r="B1289" s="518"/>
      <c r="C1289" s="331"/>
      <c r="D1289" s="316"/>
      <c r="E1289" s="331"/>
      <c r="F1289" s="316"/>
      <c r="G1289" s="331"/>
      <c r="H1289" s="316"/>
      <c r="I1289" s="331"/>
      <c r="J1289" s="316"/>
      <c r="K1289" s="331"/>
      <c r="L1289" s="316"/>
      <c r="M1289" s="7"/>
      <c r="N1289" s="206"/>
    </row>
    <row r="1290" spans="1:14" s="6" customFormat="1" ht="15" customHeight="1" x14ac:dyDescent="0.25">
      <c r="A1290" s="32"/>
      <c r="B1290" s="518"/>
      <c r="C1290" s="318"/>
      <c r="D1290" s="319"/>
      <c r="E1290" s="380"/>
      <c r="F1290" s="319"/>
      <c r="G1290" s="381"/>
      <c r="H1290" s="382"/>
      <c r="I1290" s="380"/>
      <c r="J1290" s="319"/>
      <c r="K1290" s="380"/>
      <c r="L1290" s="319"/>
      <c r="M1290" s="7"/>
      <c r="N1290" s="206"/>
    </row>
    <row r="1291" spans="1:14" s="6" customFormat="1" ht="15" customHeight="1" x14ac:dyDescent="0.25">
      <c r="A1291" s="492"/>
      <c r="B1291" s="518"/>
      <c r="C1291" s="213">
        <f>K1284+3</f>
        <v>42989</v>
      </c>
      <c r="D1291" s="222"/>
      <c r="E1291" s="213">
        <f>C1291+1</f>
        <v>42990</v>
      </c>
      <c r="F1291" s="223" t="s">
        <v>155</v>
      </c>
      <c r="G1291" s="213">
        <f>E1291+1</f>
        <v>42991</v>
      </c>
      <c r="H1291" s="225"/>
      <c r="I1291" s="213">
        <f>G1291+1</f>
        <v>42992</v>
      </c>
      <c r="J1291" s="222"/>
      <c r="K1291" s="213">
        <f>I1291+1</f>
        <v>42993</v>
      </c>
      <c r="L1291" s="222"/>
      <c r="M1291" s="7"/>
      <c r="N1291" s="206"/>
    </row>
    <row r="1292" spans="1:14" s="6" customFormat="1" ht="15" customHeight="1" x14ac:dyDescent="0.25">
      <c r="A1292" s="506"/>
      <c r="B1292" s="518"/>
      <c r="C1292" s="476"/>
      <c r="D1292" s="456"/>
      <c r="E1292" s="331"/>
      <c r="F1292" s="316"/>
      <c r="G1292" s="331"/>
      <c r="H1292" s="316"/>
      <c r="I1292" s="331"/>
      <c r="J1292" s="316"/>
      <c r="K1292" s="331"/>
      <c r="L1292" s="316"/>
      <c r="M1292" s="7"/>
      <c r="N1292" s="206"/>
    </row>
    <row r="1293" spans="1:14" s="6" customFormat="1" ht="15" customHeight="1" x14ac:dyDescent="0.25">
      <c r="A1293" s="506"/>
      <c r="B1293" s="518"/>
      <c r="C1293" s="331"/>
      <c r="D1293" s="316"/>
      <c r="E1293" s="331"/>
      <c r="F1293" s="379"/>
      <c r="G1293" s="331"/>
      <c r="H1293" s="316"/>
      <c r="I1293" s="331"/>
      <c r="J1293" s="316"/>
      <c r="K1293" s="331"/>
      <c r="L1293" s="316"/>
      <c r="M1293" s="7"/>
      <c r="N1293" s="206"/>
    </row>
    <row r="1294" spans="1:14" s="6" customFormat="1" ht="15" customHeight="1" x14ac:dyDescent="0.25">
      <c r="A1294" s="506"/>
      <c r="B1294" s="518"/>
      <c r="C1294" s="386"/>
      <c r="D1294" s="384"/>
      <c r="E1294" s="331"/>
      <c r="F1294" s="316"/>
      <c r="G1294" s="331"/>
      <c r="H1294" s="316"/>
      <c r="I1294" s="331"/>
      <c r="J1294" s="316"/>
      <c r="K1294" s="331"/>
      <c r="L1294" s="316"/>
      <c r="M1294" s="7"/>
      <c r="N1294" s="206"/>
    </row>
    <row r="1295" spans="1:14" s="6" customFormat="1" ht="15" customHeight="1" x14ac:dyDescent="0.25">
      <c r="A1295" s="506"/>
      <c r="B1295" s="518"/>
      <c r="C1295" s="331"/>
      <c r="D1295" s="316"/>
      <c r="E1295" s="331"/>
      <c r="F1295" s="316"/>
      <c r="G1295" s="331"/>
      <c r="H1295" s="316"/>
      <c r="I1295" s="331"/>
      <c r="J1295" s="316"/>
      <c r="K1295" s="331"/>
      <c r="L1295" s="316"/>
      <c r="M1295" s="7"/>
      <c r="N1295" s="206"/>
    </row>
    <row r="1296" spans="1:14" s="6" customFormat="1" ht="15" customHeight="1" x14ac:dyDescent="0.25">
      <c r="A1296" s="506"/>
      <c r="B1296" s="518"/>
      <c r="C1296" s="331"/>
      <c r="D1296" s="316"/>
      <c r="E1296" s="331"/>
      <c r="F1296" s="316"/>
      <c r="G1296" s="331"/>
      <c r="H1296" s="316"/>
      <c r="I1296" s="331"/>
      <c r="J1296" s="316"/>
      <c r="K1296" s="331"/>
      <c r="L1296" s="316"/>
      <c r="M1296" s="7"/>
      <c r="N1296" s="217"/>
    </row>
    <row r="1297" spans="1:14" s="6" customFormat="1" ht="15" customHeight="1" x14ac:dyDescent="0.25">
      <c r="A1297" s="506"/>
      <c r="B1297" s="518"/>
      <c r="C1297" s="380"/>
      <c r="D1297" s="319"/>
      <c r="E1297" s="380"/>
      <c r="F1297" s="319"/>
      <c r="G1297" s="381"/>
      <c r="H1297" s="382"/>
      <c r="I1297" s="380"/>
      <c r="J1297" s="319"/>
      <c r="K1297" s="380"/>
      <c r="L1297" s="319"/>
      <c r="M1297" s="7"/>
      <c r="N1297" s="217"/>
    </row>
    <row r="1298" spans="1:14" s="6" customFormat="1" ht="15" customHeight="1" x14ac:dyDescent="0.25">
      <c r="A1298" s="492"/>
      <c r="B1298" s="518" t="s">
        <v>16</v>
      </c>
      <c r="C1298" s="210">
        <f>K1291+3</f>
        <v>42996</v>
      </c>
      <c r="D1298" s="222"/>
      <c r="E1298" s="213">
        <f>C1298+1</f>
        <v>42997</v>
      </c>
      <c r="F1298" s="223"/>
      <c r="G1298" s="213">
        <f>E1298+1</f>
        <v>42998</v>
      </c>
      <c r="H1298" s="222"/>
      <c r="I1298" s="213">
        <f>G1298+1</f>
        <v>42999</v>
      </c>
      <c r="J1298" s="222"/>
      <c r="K1298" s="213">
        <f>I1298+1</f>
        <v>43000</v>
      </c>
      <c r="L1298" s="222"/>
      <c r="M1298" s="7"/>
      <c r="N1298" s="206"/>
    </row>
    <row r="1299" spans="1:14" s="6" customFormat="1" ht="15" customHeight="1" x14ac:dyDescent="0.25">
      <c r="A1299" s="506"/>
      <c r="B1299" s="518"/>
      <c r="C1299" s="476"/>
      <c r="D1299" s="456"/>
      <c r="E1299" s="331"/>
      <c r="F1299" s="316"/>
      <c r="G1299" s="331"/>
      <c r="H1299" s="316"/>
      <c r="I1299" s="331"/>
      <c r="J1299" s="316"/>
      <c r="K1299" s="331"/>
      <c r="L1299" s="316"/>
      <c r="M1299" s="7"/>
      <c r="N1299" s="206"/>
    </row>
    <row r="1300" spans="1:14" s="6" customFormat="1" ht="15" customHeight="1" x14ac:dyDescent="0.25">
      <c r="A1300" s="506"/>
      <c r="B1300" s="518"/>
      <c r="C1300" s="331"/>
      <c r="D1300" s="316"/>
      <c r="E1300" s="331"/>
      <c r="F1300" s="316"/>
      <c r="G1300" s="331"/>
      <c r="H1300" s="316"/>
      <c r="I1300" s="331"/>
      <c r="J1300" s="316"/>
      <c r="K1300" s="331"/>
      <c r="L1300" s="316"/>
      <c r="M1300" s="7"/>
      <c r="N1300" s="206"/>
    </row>
    <row r="1301" spans="1:14" s="6" customFormat="1" ht="15" customHeight="1" x14ac:dyDescent="0.25">
      <c r="A1301" s="506"/>
      <c r="B1301" s="518"/>
      <c r="C1301" s="386" t="s">
        <v>168</v>
      </c>
      <c r="D1301" s="384"/>
      <c r="E1301" s="331"/>
      <c r="F1301" s="316"/>
      <c r="G1301" s="331"/>
      <c r="H1301" s="316"/>
      <c r="I1301" s="331"/>
      <c r="J1301" s="316"/>
      <c r="K1301" s="331"/>
      <c r="L1301" s="316"/>
      <c r="M1301" s="7"/>
      <c r="N1301" s="206"/>
    </row>
    <row r="1302" spans="1:14" s="6" customFormat="1" ht="15" customHeight="1" x14ac:dyDescent="0.25">
      <c r="A1302" s="506"/>
      <c r="B1302" s="518"/>
      <c r="C1302" s="331"/>
      <c r="D1302" s="316"/>
      <c r="E1302" s="331"/>
      <c r="F1302" s="379"/>
      <c r="G1302" s="331"/>
      <c r="H1302" s="316"/>
      <c r="I1302" s="331"/>
      <c r="J1302" s="316"/>
      <c r="K1302" s="331"/>
      <c r="L1302" s="316"/>
      <c r="M1302" s="7"/>
      <c r="N1302" s="206"/>
    </row>
    <row r="1303" spans="1:14" s="6" customFormat="1" ht="15" customHeight="1" x14ac:dyDescent="0.25">
      <c r="A1303" s="506"/>
      <c r="B1303" s="518"/>
      <c r="C1303" s="331"/>
      <c r="D1303" s="316"/>
      <c r="E1303" s="331"/>
      <c r="F1303" s="379"/>
      <c r="G1303" s="331"/>
      <c r="H1303" s="316"/>
      <c r="I1303" s="331"/>
      <c r="J1303" s="316"/>
      <c r="K1303" s="331"/>
      <c r="L1303" s="316"/>
      <c r="M1303" s="7"/>
      <c r="N1303" s="206"/>
    </row>
    <row r="1304" spans="1:14" s="6" customFormat="1" ht="15" customHeight="1" x14ac:dyDescent="0.25">
      <c r="A1304" s="506"/>
      <c r="B1304" s="518"/>
      <c r="C1304" s="331"/>
      <c r="D1304" s="379"/>
      <c r="E1304" s="380"/>
      <c r="F1304" s="319"/>
      <c r="G1304" s="381"/>
      <c r="H1304" s="382"/>
      <c r="I1304" s="380"/>
      <c r="J1304" s="319"/>
      <c r="K1304" s="380"/>
      <c r="L1304" s="319"/>
      <c r="M1304" s="7"/>
      <c r="N1304" s="206"/>
    </row>
    <row r="1305" spans="1:14" s="6" customFormat="1" ht="15" customHeight="1" x14ac:dyDescent="0.25">
      <c r="A1305" s="32"/>
      <c r="B1305" s="518"/>
      <c r="C1305" s="210">
        <f>K1298+3</f>
        <v>43003</v>
      </c>
      <c r="D1305" s="222"/>
      <c r="E1305" s="213">
        <f>C1305+1</f>
        <v>43004</v>
      </c>
      <c r="F1305" s="223"/>
      <c r="G1305" s="213">
        <f>E1305+1</f>
        <v>43005</v>
      </c>
      <c r="H1305" s="222"/>
      <c r="I1305" s="213">
        <f>G1305+1</f>
        <v>43006</v>
      </c>
      <c r="J1305" s="222"/>
      <c r="K1305" s="213">
        <f>I1305+1</f>
        <v>43007</v>
      </c>
      <c r="L1305" s="222"/>
      <c r="M1305" s="7"/>
      <c r="N1305" s="206"/>
    </row>
    <row r="1306" spans="1:14" s="6" customFormat="1" ht="15" customHeight="1" x14ac:dyDescent="0.25">
      <c r="A1306" s="32"/>
      <c r="B1306" s="518"/>
      <c r="C1306" s="317"/>
      <c r="D1306" s="316"/>
      <c r="E1306" s="331"/>
      <c r="F1306" s="316"/>
      <c r="G1306" s="331"/>
      <c r="H1306" s="316"/>
      <c r="I1306" s="331"/>
      <c r="J1306" s="316"/>
      <c r="K1306" s="331"/>
      <c r="L1306" s="316"/>
      <c r="M1306" s="7"/>
      <c r="N1306" s="206"/>
    </row>
    <row r="1307" spans="1:14" s="6" customFormat="1" ht="15" customHeight="1" x14ac:dyDescent="0.25">
      <c r="A1307" s="32"/>
      <c r="B1307" s="518"/>
      <c r="C1307" s="317"/>
      <c r="D1307" s="316"/>
      <c r="E1307" s="331"/>
      <c r="F1307" s="316"/>
      <c r="G1307" s="331"/>
      <c r="H1307" s="316"/>
      <c r="I1307" s="331"/>
      <c r="J1307" s="316"/>
      <c r="K1307" s="331"/>
      <c r="L1307" s="316"/>
      <c r="M1307" s="7"/>
      <c r="N1307" s="206"/>
    </row>
    <row r="1308" spans="1:14" s="6" customFormat="1" ht="15" customHeight="1" x14ac:dyDescent="0.25">
      <c r="A1308" s="32"/>
      <c r="B1308" s="518"/>
      <c r="C1308" s="383"/>
      <c r="D1308" s="384"/>
      <c r="E1308" s="331"/>
      <c r="F1308" s="316"/>
      <c r="G1308" s="331"/>
      <c r="H1308" s="316"/>
      <c r="I1308" s="331"/>
      <c r="J1308" s="316"/>
      <c r="K1308" s="331"/>
      <c r="L1308" s="316"/>
      <c r="M1308" s="7"/>
      <c r="N1308" s="206"/>
    </row>
    <row r="1309" spans="1:14" s="6" customFormat="1" ht="15" customHeight="1" x14ac:dyDescent="0.25">
      <c r="A1309" s="32"/>
      <c r="B1309" s="518"/>
      <c r="C1309" s="317"/>
      <c r="D1309" s="316"/>
      <c r="E1309" s="331"/>
      <c r="F1309" s="316"/>
      <c r="G1309" s="331"/>
      <c r="H1309" s="316"/>
      <c r="I1309" s="331"/>
      <c r="J1309" s="316"/>
      <c r="K1309" s="331"/>
      <c r="L1309" s="316"/>
      <c r="M1309" s="7"/>
      <c r="N1309" s="206"/>
    </row>
    <row r="1310" spans="1:14" s="6" customFormat="1" ht="15" customHeight="1" x14ac:dyDescent="0.25">
      <c r="A1310" s="32"/>
      <c r="B1310" s="518"/>
      <c r="C1310" s="317"/>
      <c r="D1310" s="316"/>
      <c r="E1310" s="331"/>
      <c r="F1310" s="316"/>
      <c r="G1310" s="331"/>
      <c r="H1310" s="316"/>
      <c r="I1310" s="331"/>
      <c r="J1310" s="316"/>
      <c r="K1310" s="331"/>
      <c r="L1310" s="316"/>
      <c r="M1310" s="7"/>
      <c r="N1310" s="206"/>
    </row>
    <row r="1311" spans="1:14" s="6" customFormat="1" ht="15" customHeight="1" x14ac:dyDescent="0.25">
      <c r="A1311" s="32"/>
      <c r="B1311" s="527"/>
      <c r="C1311" s="318"/>
      <c r="D1311" s="319"/>
      <c r="E1311" s="380"/>
      <c r="F1311" s="319"/>
      <c r="G1311" s="381"/>
      <c r="H1311" s="382"/>
      <c r="I1311" s="380"/>
      <c r="J1311" s="319"/>
      <c r="K1311" s="380"/>
      <c r="L1311" s="319"/>
      <c r="M1311" s="7"/>
      <c r="N1311" s="206"/>
    </row>
    <row r="1312" spans="1:14" s="6" customFormat="1" ht="15" customHeight="1" x14ac:dyDescent="0.25">
      <c r="A1312" s="32"/>
      <c r="B1312" s="510"/>
      <c r="C1312" s="210">
        <f>K1305+3</f>
        <v>43010</v>
      </c>
      <c r="D1312" s="222"/>
      <c r="E1312" s="213">
        <f>C1312+1</f>
        <v>43011</v>
      </c>
      <c r="F1312" s="223"/>
      <c r="G1312" s="213">
        <f>E1312+1</f>
        <v>43012</v>
      </c>
      <c r="H1312" s="225"/>
      <c r="I1312" s="213">
        <f>G1312+1</f>
        <v>43013</v>
      </c>
      <c r="J1312" s="222"/>
      <c r="K1312" s="213">
        <f>I1312+1</f>
        <v>43014</v>
      </c>
      <c r="L1312" s="222"/>
      <c r="M1312" s="7"/>
      <c r="N1312" s="206"/>
    </row>
    <row r="1313" spans="1:14" s="6" customFormat="1" ht="15" customHeight="1" x14ac:dyDescent="0.25">
      <c r="A1313" s="32"/>
      <c r="B1313" s="308"/>
      <c r="C1313" s="331"/>
      <c r="D1313" s="316"/>
      <c r="E1313" s="331"/>
      <c r="F1313" s="316"/>
      <c r="G1313" s="331"/>
      <c r="H1313" s="316"/>
      <c r="I1313" s="331"/>
      <c r="J1313" s="316"/>
      <c r="K1313" s="331"/>
      <c r="L1313" s="316"/>
      <c r="M1313" s="7"/>
      <c r="N1313" s="206"/>
    </row>
    <row r="1314" spans="1:14" s="6" customFormat="1" ht="15" customHeight="1" x14ac:dyDescent="0.25">
      <c r="A1314" s="32"/>
      <c r="B1314" s="308"/>
      <c r="C1314" s="331"/>
      <c r="D1314" s="316"/>
      <c r="E1314" s="331"/>
      <c r="F1314" s="316"/>
      <c r="G1314" s="331"/>
      <c r="H1314" s="316"/>
      <c r="I1314" s="331"/>
      <c r="J1314" s="316"/>
      <c r="K1314" s="331"/>
      <c r="L1314" s="316"/>
      <c r="M1314" s="7"/>
      <c r="N1314" s="206"/>
    </row>
    <row r="1315" spans="1:14" s="6" customFormat="1" ht="15" customHeight="1" x14ac:dyDescent="0.25">
      <c r="A1315" s="32"/>
      <c r="B1315" s="308"/>
      <c r="C1315" s="331"/>
      <c r="D1315" s="316"/>
      <c r="E1315" s="331"/>
      <c r="F1315" s="316"/>
      <c r="G1315" s="331"/>
      <c r="H1315" s="316"/>
      <c r="I1315" s="331"/>
      <c r="J1315" s="316"/>
      <c r="K1315" s="331"/>
      <c r="L1315" s="316"/>
      <c r="M1315" s="7"/>
      <c r="N1315" s="206"/>
    </row>
    <row r="1316" spans="1:14" s="6" customFormat="1" ht="15" customHeight="1" x14ac:dyDescent="0.25">
      <c r="A1316" s="32"/>
      <c r="B1316" s="308"/>
      <c r="C1316" s="331"/>
      <c r="D1316" s="316"/>
      <c r="E1316" s="331"/>
      <c r="F1316" s="316"/>
      <c r="G1316" s="331"/>
      <c r="H1316" s="316"/>
      <c r="I1316" s="331"/>
      <c r="J1316" s="316"/>
      <c r="K1316" s="331"/>
      <c r="L1316" s="316"/>
      <c r="M1316" s="7"/>
      <c r="N1316" s="206"/>
    </row>
    <row r="1317" spans="1:14" s="6" customFormat="1" ht="15" customHeight="1" x14ac:dyDescent="0.25">
      <c r="A1317" s="32"/>
      <c r="B1317" s="308"/>
      <c r="C1317" s="331"/>
      <c r="D1317" s="316"/>
      <c r="E1317" s="331"/>
      <c r="F1317" s="316"/>
      <c r="G1317" s="331"/>
      <c r="H1317" s="316"/>
      <c r="I1317" s="331"/>
      <c r="J1317" s="316"/>
      <c r="K1317" s="331"/>
      <c r="L1317" s="316"/>
      <c r="M1317" s="7"/>
      <c r="N1317" s="206"/>
    </row>
    <row r="1318" spans="1:14" s="6" customFormat="1" ht="15" customHeight="1" x14ac:dyDescent="0.25">
      <c r="A1318" s="32"/>
      <c r="B1318" s="308"/>
      <c r="C1318" s="318"/>
      <c r="D1318" s="319"/>
      <c r="E1318" s="380"/>
      <c r="F1318" s="319"/>
      <c r="G1318" s="381"/>
      <c r="H1318" s="382"/>
      <c r="I1318" s="380"/>
      <c r="J1318" s="319"/>
      <c r="K1318" s="380"/>
      <c r="L1318" s="319"/>
      <c r="M1318" s="7"/>
      <c r="N1318" s="206"/>
    </row>
    <row r="1319" spans="1:14" s="6" customFormat="1" ht="15" customHeight="1" x14ac:dyDescent="0.25">
      <c r="A1319" s="492"/>
      <c r="B1319" s="308"/>
      <c r="C1319" s="210">
        <f>K1312+3</f>
        <v>43017</v>
      </c>
      <c r="D1319" s="222"/>
      <c r="E1319" s="213">
        <f>C1319+1</f>
        <v>43018</v>
      </c>
      <c r="F1319" s="223"/>
      <c r="G1319" s="213">
        <f>E1319+1</f>
        <v>43019</v>
      </c>
      <c r="H1319" s="222"/>
      <c r="I1319" s="213">
        <f>G1319+1</f>
        <v>43020</v>
      </c>
      <c r="J1319" s="222"/>
      <c r="K1319" s="213">
        <f>I1319+1</f>
        <v>43021</v>
      </c>
      <c r="L1319" s="222"/>
      <c r="M1319" s="7"/>
      <c r="N1319" s="206"/>
    </row>
    <row r="1320" spans="1:14" s="6" customFormat="1" ht="15" customHeight="1" x14ac:dyDescent="0.25">
      <c r="A1320" s="506"/>
      <c r="B1320" s="308"/>
      <c r="C1320" s="476"/>
      <c r="D1320" s="456"/>
      <c r="E1320" s="331"/>
      <c r="F1320" s="316"/>
      <c r="G1320" s="331"/>
      <c r="H1320" s="316"/>
      <c r="I1320" s="331"/>
      <c r="J1320" s="316"/>
      <c r="K1320" s="331"/>
      <c r="L1320" s="316"/>
      <c r="M1320" s="7"/>
      <c r="N1320" s="206"/>
    </row>
    <row r="1321" spans="1:14" s="6" customFormat="1" ht="15" customHeight="1" x14ac:dyDescent="0.25">
      <c r="A1321" s="506"/>
      <c r="B1321" s="308"/>
      <c r="C1321" s="331"/>
      <c r="D1321" s="316"/>
      <c r="E1321" s="331"/>
      <c r="F1321" s="316"/>
      <c r="G1321" s="331"/>
      <c r="H1321" s="316"/>
      <c r="I1321" s="331"/>
      <c r="J1321" s="316"/>
      <c r="K1321" s="331"/>
      <c r="L1321" s="316"/>
      <c r="M1321" s="7"/>
      <c r="N1321" s="206"/>
    </row>
    <row r="1322" spans="1:14" s="6" customFormat="1" ht="15" customHeight="1" x14ac:dyDescent="0.25">
      <c r="A1322" s="506"/>
      <c r="B1322" s="308"/>
      <c r="C1322" s="386"/>
      <c r="D1322" s="384"/>
      <c r="E1322" s="331"/>
      <c r="F1322" s="316"/>
      <c r="G1322" s="331"/>
      <c r="H1322" s="316"/>
      <c r="I1322" s="331"/>
      <c r="J1322" s="316"/>
      <c r="K1322" s="331"/>
      <c r="L1322" s="316"/>
      <c r="M1322" s="7"/>
      <c r="N1322" s="206"/>
    </row>
    <row r="1323" spans="1:14" s="6" customFormat="1" ht="15" customHeight="1" x14ac:dyDescent="0.25">
      <c r="A1323" s="506"/>
      <c r="B1323" s="308"/>
      <c r="C1323" s="331"/>
      <c r="D1323" s="316"/>
      <c r="E1323" s="331"/>
      <c r="F1323" s="316"/>
      <c r="G1323" s="331"/>
      <c r="H1323" s="316"/>
      <c r="I1323" s="331"/>
      <c r="J1323" s="316"/>
      <c r="K1323" s="331"/>
      <c r="L1323" s="316"/>
      <c r="M1323" s="7"/>
      <c r="N1323" s="206"/>
    </row>
    <row r="1324" spans="1:14" s="6" customFormat="1" ht="15" customHeight="1" x14ac:dyDescent="0.25">
      <c r="A1324" s="506"/>
      <c r="B1324" s="308"/>
      <c r="C1324" s="331"/>
      <c r="D1324" s="316"/>
      <c r="E1324" s="331"/>
      <c r="F1324" s="316"/>
      <c r="G1324" s="331"/>
      <c r="H1324" s="316"/>
      <c r="I1324" s="331"/>
      <c r="J1324" s="316"/>
      <c r="K1324" s="331"/>
      <c r="L1324" s="316"/>
      <c r="M1324" s="7"/>
      <c r="N1324" s="217"/>
    </row>
    <row r="1325" spans="1:14" s="6" customFormat="1" x14ac:dyDescent="0.25">
      <c r="A1325" s="506"/>
      <c r="B1325" s="308"/>
      <c r="C1325" s="380"/>
      <c r="D1325" s="319"/>
      <c r="E1325" s="380"/>
      <c r="F1325" s="319"/>
      <c r="G1325" s="381"/>
      <c r="H1325" s="382"/>
      <c r="I1325" s="380"/>
      <c r="J1325" s="319"/>
      <c r="K1325" s="380"/>
      <c r="L1325" s="319"/>
      <c r="M1325" s="7"/>
      <c r="N1325" s="217"/>
    </row>
    <row r="1326" spans="1:14" s="6" customFormat="1" ht="15" customHeight="1" x14ac:dyDescent="0.25">
      <c r="A1326" s="492"/>
      <c r="B1326" s="308"/>
      <c r="C1326" s="210">
        <f>K1319+3</f>
        <v>43024</v>
      </c>
      <c r="D1326" s="222"/>
      <c r="E1326" s="213">
        <f>C1326+1</f>
        <v>43025</v>
      </c>
      <c r="F1326" s="223"/>
      <c r="G1326" s="213">
        <f>E1326+1</f>
        <v>43026</v>
      </c>
      <c r="H1326" s="225"/>
      <c r="I1326" s="213">
        <f>G1326+1</f>
        <v>43027</v>
      </c>
      <c r="J1326" s="222"/>
      <c r="K1326" s="213">
        <f>I1326+1</f>
        <v>43028</v>
      </c>
      <c r="L1326" s="222"/>
      <c r="M1326" s="7"/>
      <c r="N1326" s="206"/>
    </row>
    <row r="1327" spans="1:14" s="6" customFormat="1" ht="15" customHeight="1" x14ac:dyDescent="0.25">
      <c r="A1327" s="506"/>
      <c r="B1327" s="308"/>
      <c r="C1327" s="476"/>
      <c r="D1327" s="456"/>
      <c r="E1327" s="331"/>
      <c r="F1327" s="316"/>
      <c r="G1327" s="331"/>
      <c r="H1327" s="316"/>
      <c r="I1327" s="331"/>
      <c r="J1327" s="316"/>
      <c r="K1327" s="331"/>
      <c r="L1327" s="316"/>
      <c r="M1327" s="7"/>
      <c r="N1327" s="206"/>
    </row>
    <row r="1328" spans="1:14" s="6" customFormat="1" ht="15" customHeight="1" x14ac:dyDescent="0.25">
      <c r="A1328" s="506"/>
      <c r="B1328" s="308"/>
      <c r="C1328" s="331"/>
      <c r="D1328" s="316"/>
      <c r="E1328" s="331"/>
      <c r="F1328" s="316"/>
      <c r="G1328" s="331"/>
      <c r="H1328" s="316"/>
      <c r="I1328" s="331"/>
      <c r="J1328" s="316"/>
      <c r="K1328" s="331"/>
      <c r="L1328" s="316"/>
      <c r="M1328" s="7"/>
      <c r="N1328" s="206"/>
    </row>
    <row r="1329" spans="1:14" s="6" customFormat="1" ht="15" customHeight="1" x14ac:dyDescent="0.25">
      <c r="A1329" s="506"/>
      <c r="B1329" s="308"/>
      <c r="C1329" s="386" t="s">
        <v>168</v>
      </c>
      <c r="D1329" s="384"/>
      <c r="E1329" s="331"/>
      <c r="F1329" s="316"/>
      <c r="G1329" s="331"/>
      <c r="H1329" s="316"/>
      <c r="I1329" s="331"/>
      <c r="J1329" s="316"/>
      <c r="K1329" s="331"/>
      <c r="L1329" s="316"/>
      <c r="M1329" s="7"/>
      <c r="N1329" s="206"/>
    </row>
    <row r="1330" spans="1:14" s="6" customFormat="1" ht="15" customHeight="1" x14ac:dyDescent="0.25">
      <c r="A1330" s="506"/>
      <c r="B1330" s="308"/>
      <c r="C1330" s="331"/>
      <c r="D1330" s="316"/>
      <c r="E1330" s="331"/>
      <c r="F1330" s="316"/>
      <c r="G1330" s="331"/>
      <c r="H1330" s="316"/>
      <c r="I1330" s="331"/>
      <c r="J1330" s="316"/>
      <c r="K1330" s="331"/>
      <c r="L1330" s="316"/>
      <c r="M1330" s="7"/>
      <c r="N1330" s="206"/>
    </row>
    <row r="1331" spans="1:14" s="6" customFormat="1" ht="15" customHeight="1" x14ac:dyDescent="0.25">
      <c r="A1331" s="506"/>
      <c r="B1331" s="308"/>
      <c r="C1331" s="331"/>
      <c r="D1331" s="316"/>
      <c r="E1331" s="331"/>
      <c r="F1331" s="316"/>
      <c r="G1331" s="331"/>
      <c r="H1331" s="316"/>
      <c r="I1331" s="331"/>
      <c r="J1331" s="316"/>
      <c r="K1331" s="331"/>
      <c r="L1331" s="316"/>
      <c r="M1331" s="7"/>
      <c r="N1331" s="206"/>
    </row>
    <row r="1332" spans="1:14" s="6" customFormat="1" ht="15" customHeight="1" x14ac:dyDescent="0.25">
      <c r="A1332" s="506"/>
      <c r="B1332" s="308"/>
      <c r="C1332" s="380"/>
      <c r="D1332" s="319"/>
      <c r="E1332" s="380"/>
      <c r="F1332" s="319"/>
      <c r="G1332" s="381"/>
      <c r="H1332" s="382"/>
      <c r="I1332" s="380"/>
      <c r="J1332" s="319"/>
      <c r="K1332" s="380"/>
      <c r="L1332" s="319"/>
      <c r="M1332" s="7"/>
      <c r="N1332" s="206"/>
    </row>
    <row r="1333" spans="1:14" s="6" customFormat="1" ht="15" customHeight="1" x14ac:dyDescent="0.25">
      <c r="A1333" s="32"/>
      <c r="B1333" s="308" t="s">
        <v>15</v>
      </c>
      <c r="C1333" s="213">
        <f>K1326+3</f>
        <v>43031</v>
      </c>
      <c r="D1333" s="222"/>
      <c r="E1333" s="213">
        <f>C1333+1</f>
        <v>43032</v>
      </c>
      <c r="F1333" s="223"/>
      <c r="G1333" s="213">
        <f>E1333+1</f>
        <v>43033</v>
      </c>
      <c r="H1333" s="225"/>
      <c r="I1333" s="213">
        <f>G1333+1</f>
        <v>43034</v>
      </c>
      <c r="J1333" s="222"/>
      <c r="K1333" s="213">
        <f>I1333+1</f>
        <v>43035</v>
      </c>
      <c r="L1333" s="222"/>
      <c r="M1333" s="7"/>
      <c r="N1333" s="206"/>
    </row>
    <row r="1334" spans="1:14" s="6" customFormat="1" ht="15" customHeight="1" x14ac:dyDescent="0.25">
      <c r="A1334" s="32"/>
      <c r="B1334" s="308"/>
      <c r="C1334" s="383"/>
      <c r="D1334" s="384"/>
      <c r="E1334" s="331"/>
      <c r="F1334" s="316"/>
      <c r="G1334" s="331"/>
      <c r="H1334" s="316"/>
      <c r="I1334" s="331"/>
      <c r="J1334" s="316"/>
      <c r="K1334" s="331"/>
      <c r="L1334" s="316"/>
      <c r="M1334" s="7"/>
      <c r="N1334" s="206"/>
    </row>
    <row r="1335" spans="1:14" s="6" customFormat="1" ht="15" customHeight="1" x14ac:dyDescent="0.25">
      <c r="A1335" s="32"/>
      <c r="B1335" s="308"/>
      <c r="C1335" s="317"/>
      <c r="D1335" s="316"/>
      <c r="E1335" s="331"/>
      <c r="F1335" s="316"/>
      <c r="G1335" s="331"/>
      <c r="H1335" s="316"/>
      <c r="I1335" s="331"/>
      <c r="J1335" s="316"/>
      <c r="K1335" s="331"/>
      <c r="L1335" s="316"/>
      <c r="M1335" s="7"/>
      <c r="N1335" s="206"/>
    </row>
    <row r="1336" spans="1:14" s="6" customFormat="1" ht="15" customHeight="1" x14ac:dyDescent="0.25">
      <c r="A1336" s="32"/>
      <c r="B1336" s="308"/>
      <c r="C1336" s="383" t="s">
        <v>168</v>
      </c>
      <c r="D1336" s="486"/>
      <c r="E1336" s="331"/>
      <c r="F1336" s="316"/>
      <c r="G1336" s="331"/>
      <c r="H1336" s="316"/>
      <c r="I1336" s="331"/>
      <c r="J1336" s="316"/>
      <c r="K1336" s="331"/>
      <c r="L1336" s="316"/>
      <c r="M1336" s="7"/>
      <c r="N1336" s="206"/>
    </row>
    <row r="1337" spans="1:14" s="6" customFormat="1" ht="15" customHeight="1" x14ac:dyDescent="0.25">
      <c r="A1337" s="32"/>
      <c r="B1337" s="308"/>
      <c r="C1337" s="317"/>
      <c r="D1337" s="316"/>
      <c r="E1337" s="331"/>
      <c r="F1337" s="316"/>
      <c r="G1337" s="331"/>
      <c r="H1337" s="316"/>
      <c r="I1337" s="331"/>
      <c r="J1337" s="316"/>
      <c r="K1337" s="331"/>
      <c r="L1337" s="316"/>
      <c r="M1337" s="7"/>
      <c r="N1337" s="206"/>
    </row>
    <row r="1338" spans="1:14" s="6" customFormat="1" ht="15" customHeight="1" x14ac:dyDescent="0.25">
      <c r="A1338" s="32"/>
      <c r="B1338" s="308"/>
      <c r="C1338" s="317"/>
      <c r="D1338" s="316"/>
      <c r="E1338" s="331"/>
      <c r="F1338" s="316"/>
      <c r="G1338" s="331"/>
      <c r="H1338" s="316"/>
      <c r="I1338" s="331"/>
      <c r="J1338" s="316"/>
      <c r="K1338" s="331"/>
      <c r="L1338" s="316"/>
      <c r="M1338" s="7"/>
      <c r="N1338" s="206"/>
    </row>
    <row r="1339" spans="1:14" s="6" customFormat="1" ht="15" customHeight="1" x14ac:dyDescent="0.25">
      <c r="A1339" s="32"/>
      <c r="B1339" s="308"/>
      <c r="C1339" s="318"/>
      <c r="D1339" s="319"/>
      <c r="E1339" s="380"/>
      <c r="F1339" s="319"/>
      <c r="G1339" s="381"/>
      <c r="H1339" s="382"/>
      <c r="I1339" s="380"/>
      <c r="J1339" s="319"/>
      <c r="K1339" s="380"/>
      <c r="L1339" s="319"/>
      <c r="M1339" s="7"/>
      <c r="N1339" s="206"/>
    </row>
    <row r="1340" spans="1:14" s="6" customFormat="1" ht="15" customHeight="1" x14ac:dyDescent="0.25">
      <c r="A1340" s="32"/>
      <c r="B1340" s="308"/>
      <c r="C1340" s="210">
        <f>K1333+3</f>
        <v>43038</v>
      </c>
      <c r="D1340" s="222"/>
      <c r="E1340" s="213">
        <f>C1340+1</f>
        <v>43039</v>
      </c>
      <c r="F1340" s="231"/>
      <c r="G1340" s="213">
        <f>E1340+1</f>
        <v>43040</v>
      </c>
      <c r="H1340" s="222"/>
      <c r="I1340" s="213">
        <f>G1340+1</f>
        <v>43041</v>
      </c>
      <c r="J1340" s="222"/>
      <c r="K1340" s="213">
        <f>I1340+1</f>
        <v>43042</v>
      </c>
      <c r="L1340" s="222"/>
      <c r="M1340" s="7"/>
      <c r="N1340" s="206"/>
    </row>
    <row r="1341" spans="1:14" s="6" customFormat="1" ht="15" customHeight="1" x14ac:dyDescent="0.25">
      <c r="A1341" s="32"/>
      <c r="B1341" s="308"/>
      <c r="C1341" s="331"/>
      <c r="D1341" s="316"/>
      <c r="E1341" s="331"/>
      <c r="F1341" s="316"/>
      <c r="G1341" s="331"/>
      <c r="H1341" s="316"/>
      <c r="I1341" s="331"/>
      <c r="J1341" s="316"/>
      <c r="K1341" s="331"/>
      <c r="L1341" s="316"/>
      <c r="M1341" s="7"/>
      <c r="N1341" s="206"/>
    </row>
    <row r="1342" spans="1:14" s="6" customFormat="1" ht="15" customHeight="1" x14ac:dyDescent="0.25">
      <c r="A1342" s="32"/>
      <c r="B1342" s="308"/>
      <c r="C1342" s="331"/>
      <c r="D1342" s="316"/>
      <c r="E1342" s="331"/>
      <c r="F1342" s="316"/>
      <c r="G1342" s="331"/>
      <c r="H1342" s="316"/>
      <c r="I1342" s="331"/>
      <c r="J1342" s="316"/>
      <c r="K1342" s="331"/>
      <c r="L1342" s="316"/>
      <c r="M1342" s="7"/>
      <c r="N1342" s="206"/>
    </row>
    <row r="1343" spans="1:14" s="6" customFormat="1" ht="15" customHeight="1" x14ac:dyDescent="0.25">
      <c r="A1343" s="32"/>
      <c r="B1343" s="308"/>
      <c r="C1343" s="386"/>
      <c r="D1343" s="384"/>
      <c r="E1343" s="331"/>
      <c r="F1343" s="316"/>
      <c r="G1343" s="331"/>
      <c r="H1343" s="316"/>
      <c r="I1343" s="331"/>
      <c r="J1343" s="316"/>
      <c r="K1343" s="331"/>
      <c r="L1343" s="316"/>
      <c r="M1343" s="7"/>
      <c r="N1343" s="206"/>
    </row>
    <row r="1344" spans="1:14" s="6" customFormat="1" ht="15" customHeight="1" x14ac:dyDescent="0.25">
      <c r="A1344" s="32"/>
      <c r="B1344" s="308"/>
      <c r="C1344" s="331"/>
      <c r="D1344" s="316"/>
      <c r="E1344" s="331"/>
      <c r="F1344" s="316"/>
      <c r="G1344" s="331"/>
      <c r="H1344" s="316"/>
      <c r="I1344" s="331"/>
      <c r="J1344" s="316"/>
      <c r="K1344" s="331"/>
      <c r="L1344" s="316"/>
      <c r="M1344" s="7"/>
      <c r="N1344" s="206"/>
    </row>
    <row r="1345" spans="1:14" s="6" customFormat="1" ht="15" customHeight="1" x14ac:dyDescent="0.25">
      <c r="A1345" s="32"/>
      <c r="B1345" s="308"/>
      <c r="C1345" s="331"/>
      <c r="D1345" s="316"/>
      <c r="E1345" s="331"/>
      <c r="F1345" s="316"/>
      <c r="G1345" s="331"/>
      <c r="H1345" s="316"/>
      <c r="I1345" s="331"/>
      <c r="J1345" s="316"/>
      <c r="K1345" s="331"/>
      <c r="L1345" s="316"/>
      <c r="M1345" s="7"/>
      <c r="N1345" s="206"/>
    </row>
    <row r="1346" spans="1:14" s="6" customFormat="1" ht="15" customHeight="1" x14ac:dyDescent="0.25">
      <c r="A1346" s="32"/>
      <c r="B1346" s="308"/>
      <c r="C1346" s="318"/>
      <c r="D1346" s="319"/>
      <c r="E1346" s="380"/>
      <c r="F1346" s="319"/>
      <c r="G1346" s="381"/>
      <c r="H1346" s="382"/>
      <c r="I1346" s="331"/>
      <c r="J1346" s="316"/>
      <c r="K1346" s="331"/>
      <c r="L1346" s="316"/>
      <c r="M1346" s="7"/>
      <c r="N1346" s="206"/>
    </row>
    <row r="1347" spans="1:14" s="6" customFormat="1" ht="15" customHeight="1" x14ac:dyDescent="0.25">
      <c r="A1347" s="492"/>
      <c r="B1347" s="306"/>
      <c r="C1347" s="213">
        <f>K1340+3</f>
        <v>43045</v>
      </c>
      <c r="D1347" s="222"/>
      <c r="E1347" s="213">
        <f>C1347+1</f>
        <v>43046</v>
      </c>
      <c r="F1347" s="223"/>
      <c r="G1347" s="213">
        <f>E1347+1</f>
        <v>43047</v>
      </c>
      <c r="H1347" s="222"/>
      <c r="I1347" s="213">
        <f>G1347+1</f>
        <v>43048</v>
      </c>
      <c r="J1347" s="222"/>
      <c r="K1347" s="213">
        <f>I1347+1</f>
        <v>43049</v>
      </c>
      <c r="L1347" s="222"/>
      <c r="M1347" s="7"/>
      <c r="N1347" s="206"/>
    </row>
    <row r="1348" spans="1:14" s="6" customFormat="1" ht="15" customHeight="1" x14ac:dyDescent="0.25">
      <c r="A1348" s="506"/>
      <c r="B1348" s="306"/>
      <c r="C1348" s="476"/>
      <c r="D1348" s="456"/>
      <c r="E1348" s="331"/>
      <c r="F1348" s="316"/>
      <c r="G1348" s="331"/>
      <c r="H1348" s="316"/>
      <c r="I1348" s="331"/>
      <c r="J1348" s="316"/>
      <c r="K1348" s="331"/>
      <c r="L1348" s="316"/>
      <c r="M1348" s="7"/>
      <c r="N1348" s="206"/>
    </row>
    <row r="1349" spans="1:14" s="6" customFormat="1" ht="15" customHeight="1" x14ac:dyDescent="0.25">
      <c r="A1349" s="506"/>
      <c r="B1349" s="306"/>
      <c r="C1349" s="331"/>
      <c r="D1349" s="316"/>
      <c r="E1349" s="331"/>
      <c r="F1349" s="316"/>
      <c r="G1349" s="331"/>
      <c r="H1349" s="316"/>
      <c r="I1349" s="331"/>
      <c r="J1349" s="316"/>
      <c r="K1349" s="331"/>
      <c r="L1349" s="316"/>
      <c r="M1349" s="7"/>
      <c r="N1349" s="206"/>
    </row>
    <row r="1350" spans="1:14" s="6" customFormat="1" ht="15" customHeight="1" x14ac:dyDescent="0.25">
      <c r="A1350" s="506"/>
      <c r="B1350" s="306"/>
      <c r="C1350" s="386"/>
      <c r="D1350" s="384"/>
      <c r="E1350" s="331"/>
      <c r="F1350" s="316"/>
      <c r="G1350" s="331"/>
      <c r="H1350" s="316"/>
      <c r="I1350" s="331"/>
      <c r="J1350" s="316"/>
      <c r="K1350" s="331"/>
      <c r="L1350" s="316"/>
      <c r="M1350" s="7"/>
      <c r="N1350" s="206"/>
    </row>
    <row r="1351" spans="1:14" s="6" customFormat="1" ht="15" customHeight="1" x14ac:dyDescent="0.25">
      <c r="A1351" s="506"/>
      <c r="B1351" s="306"/>
      <c r="C1351" s="331"/>
      <c r="D1351" s="316"/>
      <c r="E1351" s="331"/>
      <c r="F1351" s="316"/>
      <c r="G1351" s="331"/>
      <c r="H1351" s="316"/>
      <c r="I1351" s="331"/>
      <c r="J1351" s="316"/>
      <c r="K1351" s="331"/>
      <c r="L1351" s="316"/>
      <c r="M1351" s="7"/>
      <c r="N1351" s="206"/>
    </row>
    <row r="1352" spans="1:14" s="6" customFormat="1" ht="15" customHeight="1" x14ac:dyDescent="0.25">
      <c r="A1352" s="506"/>
      <c r="B1352" s="306"/>
      <c r="C1352" s="331"/>
      <c r="D1352" s="316"/>
      <c r="E1352" s="331"/>
      <c r="F1352" s="316"/>
      <c r="G1352" s="331"/>
      <c r="H1352" s="316"/>
      <c r="I1352" s="331"/>
      <c r="J1352" s="316"/>
      <c r="K1352" s="331"/>
      <c r="L1352" s="316"/>
      <c r="M1352" s="7"/>
      <c r="N1352" s="217"/>
    </row>
    <row r="1353" spans="1:14" s="6" customFormat="1" ht="15" customHeight="1" x14ac:dyDescent="0.25">
      <c r="A1353" s="506"/>
      <c r="B1353" s="306"/>
      <c r="C1353" s="380"/>
      <c r="D1353" s="319"/>
      <c r="E1353" s="380"/>
      <c r="F1353" s="319"/>
      <c r="G1353" s="381"/>
      <c r="H1353" s="382"/>
      <c r="I1353" s="380"/>
      <c r="J1353" s="319"/>
      <c r="K1353" s="380"/>
      <c r="L1353" s="319"/>
      <c r="M1353" s="7"/>
      <c r="N1353" s="217"/>
    </row>
    <row r="1354" spans="1:14" s="6" customFormat="1" ht="15" customHeight="1" x14ac:dyDescent="0.25">
      <c r="A1354" s="492"/>
      <c r="B1354" s="306"/>
      <c r="C1354" s="210">
        <f>K1347+3</f>
        <v>43052</v>
      </c>
      <c r="D1354" s="222"/>
      <c r="E1354" s="213">
        <f>C1354+1</f>
        <v>43053</v>
      </c>
      <c r="F1354" s="222"/>
      <c r="G1354" s="213">
        <f>E1354+1</f>
        <v>43054</v>
      </c>
      <c r="H1354" s="222"/>
      <c r="I1354" s="213">
        <f>G1354+1</f>
        <v>43055</v>
      </c>
      <c r="J1354" s="222"/>
      <c r="K1354" s="213">
        <f>I1354+1</f>
        <v>43056</v>
      </c>
      <c r="L1354" s="222"/>
      <c r="M1354" s="7"/>
      <c r="N1354" s="206"/>
    </row>
    <row r="1355" spans="1:14" s="6" customFormat="1" ht="15" customHeight="1" x14ac:dyDescent="0.25">
      <c r="A1355" s="506"/>
      <c r="B1355" s="306"/>
      <c r="C1355" s="476"/>
      <c r="D1355" s="456"/>
      <c r="E1355" s="331"/>
      <c r="F1355" s="316"/>
      <c r="G1355" s="331"/>
      <c r="H1355" s="316"/>
      <c r="I1355" s="331"/>
      <c r="J1355" s="316"/>
      <c r="K1355" s="331"/>
      <c r="L1355" s="316"/>
      <c r="M1355" s="7"/>
      <c r="N1355" s="206"/>
    </row>
    <row r="1356" spans="1:14" s="6" customFormat="1" ht="15" customHeight="1" x14ac:dyDescent="0.25">
      <c r="A1356" s="506"/>
      <c r="B1356" s="306"/>
      <c r="C1356" s="331"/>
      <c r="D1356" s="316"/>
      <c r="E1356" s="331"/>
      <c r="F1356" s="316"/>
      <c r="G1356" s="331"/>
      <c r="H1356" s="316"/>
      <c r="I1356" s="331"/>
      <c r="J1356" s="316"/>
      <c r="K1356" s="331"/>
      <c r="L1356" s="316"/>
      <c r="M1356" s="7"/>
      <c r="N1356" s="206"/>
    </row>
    <row r="1357" spans="1:14" s="6" customFormat="1" ht="15" customHeight="1" x14ac:dyDescent="0.25">
      <c r="A1357" s="506"/>
      <c r="B1357" s="306"/>
      <c r="C1357" s="386"/>
      <c r="D1357" s="384"/>
      <c r="E1357" s="331"/>
      <c r="F1357" s="316"/>
      <c r="G1357" s="331"/>
      <c r="H1357" s="316"/>
      <c r="I1357" s="331"/>
      <c r="J1357" s="316"/>
      <c r="K1357" s="331"/>
      <c r="L1357" s="316"/>
      <c r="M1357" s="7"/>
      <c r="N1357" s="206"/>
    </row>
    <row r="1358" spans="1:14" s="6" customFormat="1" ht="15" customHeight="1" x14ac:dyDescent="0.25">
      <c r="A1358" s="506"/>
      <c r="B1358" s="306"/>
      <c r="C1358" s="331"/>
      <c r="D1358" s="316"/>
      <c r="E1358" s="331"/>
      <c r="F1358" s="316"/>
      <c r="G1358" s="331"/>
      <c r="H1358" s="316"/>
      <c r="I1358" s="331"/>
      <c r="J1358" s="316"/>
      <c r="K1358" s="331"/>
      <c r="L1358" s="316"/>
      <c r="M1358" s="7"/>
      <c r="N1358" s="206"/>
    </row>
    <row r="1359" spans="1:14" s="6" customFormat="1" ht="15" customHeight="1" x14ac:dyDescent="0.25">
      <c r="A1359" s="506"/>
      <c r="B1359" s="306"/>
      <c r="C1359" s="331"/>
      <c r="D1359" s="316"/>
      <c r="E1359" s="331"/>
      <c r="F1359" s="316"/>
      <c r="G1359" s="331"/>
      <c r="H1359" s="316"/>
      <c r="I1359" s="331"/>
      <c r="J1359" s="316"/>
      <c r="K1359" s="331"/>
      <c r="L1359" s="316"/>
      <c r="M1359" s="7"/>
      <c r="N1359" s="206"/>
    </row>
    <row r="1360" spans="1:14" s="6" customFormat="1" ht="15" customHeight="1" x14ac:dyDescent="0.25">
      <c r="A1360" s="506"/>
      <c r="B1360" s="306"/>
      <c r="C1360" s="380"/>
      <c r="D1360" s="319"/>
      <c r="E1360" s="380"/>
      <c r="F1360" s="319"/>
      <c r="G1360" s="381"/>
      <c r="H1360" s="382"/>
      <c r="I1360" s="380"/>
      <c r="J1360" s="319"/>
      <c r="K1360" s="380"/>
      <c r="L1360" s="319"/>
      <c r="M1360" s="7"/>
      <c r="N1360" s="206"/>
    </row>
    <row r="1361" spans="1:14" s="6" customFormat="1" ht="15" customHeight="1" x14ac:dyDescent="0.25">
      <c r="A1361" s="32"/>
      <c r="B1361" s="306" t="s">
        <v>13</v>
      </c>
      <c r="C1361" s="210">
        <f>K1354+3</f>
        <v>43059</v>
      </c>
      <c r="D1361" s="222"/>
      <c r="E1361" s="213">
        <f>C1361+1</f>
        <v>43060</v>
      </c>
      <c r="F1361" s="222"/>
      <c r="G1361" s="213">
        <f>E1361+1</f>
        <v>43061</v>
      </c>
      <c r="H1361" s="222"/>
      <c r="I1361" s="213">
        <f>G1361+1</f>
        <v>43062</v>
      </c>
      <c r="J1361" s="225"/>
      <c r="K1361" s="213">
        <f>I1361+1</f>
        <v>43063</v>
      </c>
      <c r="L1361" s="222"/>
      <c r="M1361" s="7"/>
      <c r="N1361" s="206"/>
    </row>
    <row r="1362" spans="1:14" s="6" customFormat="1" ht="15" customHeight="1" x14ac:dyDescent="0.25">
      <c r="A1362" s="32"/>
      <c r="B1362" s="306"/>
      <c r="C1362" s="317"/>
      <c r="D1362" s="316"/>
      <c r="E1362" s="331"/>
      <c r="F1362" s="316"/>
      <c r="G1362" s="331"/>
      <c r="H1362" s="316"/>
      <c r="I1362" s="331"/>
      <c r="J1362" s="316"/>
      <c r="K1362" s="331"/>
      <c r="L1362" s="316"/>
      <c r="M1362" s="7"/>
      <c r="N1362" s="206"/>
    </row>
    <row r="1363" spans="1:14" s="6" customFormat="1" ht="15" customHeight="1" x14ac:dyDescent="0.25">
      <c r="A1363" s="32"/>
      <c r="B1363" s="306"/>
      <c r="C1363" s="317"/>
      <c r="D1363" s="316"/>
      <c r="E1363" s="331"/>
      <c r="F1363" s="316"/>
      <c r="G1363" s="331"/>
      <c r="H1363" s="316"/>
      <c r="I1363" s="331"/>
      <c r="J1363" s="316"/>
      <c r="K1363" s="331"/>
      <c r="L1363" s="316"/>
      <c r="M1363" s="7"/>
      <c r="N1363" s="206"/>
    </row>
    <row r="1364" spans="1:14" s="6" customFormat="1" ht="15" customHeight="1" x14ac:dyDescent="0.25">
      <c r="A1364" s="32"/>
      <c r="B1364" s="306"/>
      <c r="C1364" s="383"/>
      <c r="D1364" s="384"/>
      <c r="E1364" s="331"/>
      <c r="F1364" s="316"/>
      <c r="G1364" s="331"/>
      <c r="H1364" s="316"/>
      <c r="I1364" s="331"/>
      <c r="J1364" s="316"/>
      <c r="K1364" s="331"/>
      <c r="L1364" s="316"/>
      <c r="M1364" s="7"/>
      <c r="N1364" s="206"/>
    </row>
    <row r="1365" spans="1:14" s="6" customFormat="1" ht="15" customHeight="1" x14ac:dyDescent="0.25">
      <c r="A1365" s="32"/>
      <c r="B1365" s="306"/>
      <c r="C1365" s="317"/>
      <c r="D1365" s="316"/>
      <c r="E1365" s="331"/>
      <c r="F1365" s="316"/>
      <c r="G1365" s="331"/>
      <c r="H1365" s="316"/>
      <c r="I1365" s="331"/>
      <c r="J1365" s="316"/>
      <c r="K1365" s="331"/>
      <c r="L1365" s="316"/>
      <c r="M1365" s="7"/>
      <c r="N1365" s="206"/>
    </row>
    <row r="1366" spans="1:14" s="6" customFormat="1" ht="15" customHeight="1" x14ac:dyDescent="0.25">
      <c r="A1366" s="32"/>
      <c r="B1366" s="306"/>
      <c r="C1366" s="317"/>
      <c r="D1366" s="316"/>
      <c r="E1366" s="331"/>
      <c r="F1366" s="316"/>
      <c r="G1366" s="331"/>
      <c r="H1366" s="316"/>
      <c r="I1366" s="331"/>
      <c r="J1366" s="316"/>
      <c r="K1366" s="331"/>
      <c r="L1366" s="316"/>
      <c r="M1366" s="7"/>
      <c r="N1366" s="206"/>
    </row>
    <row r="1367" spans="1:14" s="6" customFormat="1" ht="15" customHeight="1" x14ac:dyDescent="0.25">
      <c r="A1367" s="32"/>
      <c r="B1367" s="306"/>
      <c r="C1367" s="318"/>
      <c r="D1367" s="319"/>
      <c r="E1367" s="380"/>
      <c r="F1367" s="319"/>
      <c r="G1367" s="381"/>
      <c r="H1367" s="382"/>
      <c r="I1367" s="380"/>
      <c r="J1367" s="319"/>
      <c r="K1367" s="380"/>
      <c r="L1367" s="319"/>
      <c r="M1367" s="7"/>
      <c r="N1367" s="206"/>
    </row>
    <row r="1368" spans="1:14" s="6" customFormat="1" ht="15" customHeight="1" x14ac:dyDescent="0.25">
      <c r="A1368" s="32"/>
      <c r="B1368" s="306"/>
      <c r="C1368" s="213">
        <f>K1361+3</f>
        <v>43066</v>
      </c>
      <c r="D1368" s="222"/>
      <c r="E1368" s="213">
        <f>C1368+1</f>
        <v>43067</v>
      </c>
      <c r="F1368" s="222"/>
      <c r="G1368" s="213">
        <f>E1368+1</f>
        <v>43068</v>
      </c>
      <c r="H1368" s="222"/>
      <c r="I1368" s="213">
        <f>G1368+1</f>
        <v>43069</v>
      </c>
      <c r="J1368" s="222"/>
      <c r="K1368" s="213">
        <f>I1368+1</f>
        <v>43070</v>
      </c>
      <c r="L1368" s="225"/>
      <c r="M1368" s="7"/>
      <c r="N1368" s="206"/>
    </row>
    <row r="1369" spans="1:14" s="6" customFormat="1" ht="15" customHeight="1" x14ac:dyDescent="0.25">
      <c r="A1369" s="32"/>
      <c r="B1369" s="306"/>
      <c r="C1369" s="383"/>
      <c r="D1369" s="384"/>
      <c r="E1369" s="331"/>
      <c r="F1369" s="316"/>
      <c r="G1369" s="331"/>
      <c r="H1369" s="316"/>
      <c r="I1369" s="331"/>
      <c r="J1369" s="316"/>
      <c r="K1369" s="331"/>
      <c r="L1369" s="316"/>
      <c r="M1369" s="7"/>
      <c r="N1369" s="206"/>
    </row>
    <row r="1370" spans="1:14" s="6" customFormat="1" ht="15" customHeight="1" x14ac:dyDescent="0.25">
      <c r="A1370" s="32"/>
      <c r="B1370" s="306"/>
      <c r="C1370" s="383"/>
      <c r="D1370" s="384"/>
      <c r="E1370" s="331"/>
      <c r="F1370" s="316"/>
      <c r="G1370" s="331"/>
      <c r="H1370" s="316"/>
      <c r="I1370" s="331"/>
      <c r="J1370" s="316"/>
      <c r="K1370" s="331"/>
      <c r="L1370" s="316"/>
      <c r="M1370" s="7"/>
      <c r="N1370" s="206"/>
    </row>
    <row r="1371" spans="1:14" s="6" customFormat="1" ht="15" customHeight="1" x14ac:dyDescent="0.25">
      <c r="A1371" s="32"/>
      <c r="B1371" s="306"/>
      <c r="C1371" s="383"/>
      <c r="D1371" s="384"/>
      <c r="E1371" s="331"/>
      <c r="F1371" s="316"/>
      <c r="G1371" s="331"/>
      <c r="H1371" s="316"/>
      <c r="I1371" s="331"/>
      <c r="J1371" s="316"/>
      <c r="K1371" s="331"/>
      <c r="L1371" s="316"/>
      <c r="M1371" s="7"/>
      <c r="N1371" s="206"/>
    </row>
    <row r="1372" spans="1:14" s="6" customFormat="1" ht="15" customHeight="1" x14ac:dyDescent="0.25">
      <c r="A1372" s="32"/>
      <c r="B1372" s="306"/>
      <c r="C1372" s="317"/>
      <c r="D1372" s="316"/>
      <c r="E1372" s="331"/>
      <c r="F1372" s="316"/>
      <c r="G1372" s="331"/>
      <c r="H1372" s="316"/>
      <c r="I1372" s="331"/>
      <c r="J1372" s="316"/>
      <c r="K1372" s="331"/>
      <c r="L1372" s="316"/>
      <c r="M1372" s="7"/>
      <c r="N1372" s="206"/>
    </row>
    <row r="1373" spans="1:14" s="6" customFormat="1" ht="15" customHeight="1" x14ac:dyDescent="0.25">
      <c r="A1373" s="32"/>
      <c r="B1373" s="306"/>
      <c r="C1373" s="317"/>
      <c r="D1373" s="316"/>
      <c r="E1373" s="331"/>
      <c r="F1373" s="316"/>
      <c r="G1373" s="331"/>
      <c r="H1373" s="316"/>
      <c r="I1373" s="331"/>
      <c r="J1373" s="316"/>
      <c r="K1373" s="331"/>
      <c r="L1373" s="316"/>
      <c r="M1373" s="7"/>
      <c r="N1373" s="206"/>
    </row>
    <row r="1374" spans="1:14" s="6" customFormat="1" ht="15" customHeight="1" x14ac:dyDescent="0.25">
      <c r="A1374" s="32"/>
      <c r="B1374" s="306"/>
      <c r="C1374" s="318"/>
      <c r="D1374" s="319"/>
      <c r="E1374" s="380"/>
      <c r="F1374" s="319"/>
      <c r="G1374" s="381"/>
      <c r="H1374" s="382"/>
      <c r="I1374" s="380"/>
      <c r="J1374" s="319"/>
      <c r="K1374" s="380"/>
      <c r="L1374" s="319"/>
      <c r="M1374" s="7"/>
      <c r="N1374" s="206"/>
    </row>
    <row r="1375" spans="1:14" s="6" customFormat="1" ht="15" customHeight="1" x14ac:dyDescent="0.25">
      <c r="A1375" s="492"/>
      <c r="B1375" s="332"/>
      <c r="C1375" s="213">
        <f>K1368+3</f>
        <v>43073</v>
      </c>
      <c r="D1375" s="222"/>
      <c r="E1375" s="213">
        <f>C1375+1</f>
        <v>43074</v>
      </c>
      <c r="F1375" s="223"/>
      <c r="G1375" s="213">
        <f>E1375+1</f>
        <v>43075</v>
      </c>
      <c r="H1375" s="222"/>
      <c r="I1375" s="213">
        <f>G1375+1</f>
        <v>43076</v>
      </c>
      <c r="J1375" s="222"/>
      <c r="K1375" s="213">
        <f>I1375+1</f>
        <v>43077</v>
      </c>
      <c r="L1375" s="222"/>
      <c r="M1375" s="7"/>
      <c r="N1375" s="206"/>
    </row>
    <row r="1376" spans="1:14" s="6" customFormat="1" ht="15" customHeight="1" x14ac:dyDescent="0.25">
      <c r="A1376" s="506"/>
      <c r="B1376" s="332"/>
      <c r="C1376" s="331"/>
      <c r="D1376" s="316"/>
      <c r="E1376" s="331"/>
      <c r="F1376" s="316"/>
      <c r="G1376" s="331"/>
      <c r="H1376" s="316"/>
      <c r="I1376" s="331"/>
      <c r="J1376" s="316"/>
      <c r="K1376" s="331"/>
      <c r="L1376" s="316"/>
      <c r="M1376" s="7"/>
      <c r="N1376" s="206"/>
    </row>
    <row r="1377" spans="1:14" s="6" customFormat="1" ht="15" customHeight="1" x14ac:dyDescent="0.25">
      <c r="A1377" s="506"/>
      <c r="B1377" s="332"/>
      <c r="C1377" s="331"/>
      <c r="D1377" s="316"/>
      <c r="E1377" s="331"/>
      <c r="F1377" s="316"/>
      <c r="G1377" s="331"/>
      <c r="H1377" s="316"/>
      <c r="I1377" s="331"/>
      <c r="J1377" s="316"/>
      <c r="K1377" s="331"/>
      <c r="L1377" s="316"/>
      <c r="M1377" s="7"/>
      <c r="N1377" s="206"/>
    </row>
    <row r="1378" spans="1:14" s="6" customFormat="1" ht="15" customHeight="1" x14ac:dyDescent="0.25">
      <c r="A1378" s="506"/>
      <c r="B1378" s="332"/>
      <c r="C1378" s="331"/>
      <c r="D1378" s="316"/>
      <c r="E1378" s="331"/>
      <c r="F1378" s="316"/>
      <c r="G1378" s="331"/>
      <c r="H1378" s="316"/>
      <c r="I1378" s="331"/>
      <c r="J1378" s="316"/>
      <c r="K1378" s="331"/>
      <c r="L1378" s="316"/>
      <c r="M1378" s="7"/>
      <c r="N1378" s="206"/>
    </row>
    <row r="1379" spans="1:14" s="6" customFormat="1" ht="15" customHeight="1" x14ac:dyDescent="0.25">
      <c r="A1379" s="506"/>
      <c r="B1379" s="332"/>
      <c r="C1379" s="331"/>
      <c r="D1379" s="316"/>
      <c r="E1379" s="331"/>
      <c r="F1379" s="316"/>
      <c r="G1379" s="331"/>
      <c r="H1379" s="316"/>
      <c r="I1379" s="331"/>
      <c r="J1379" s="316"/>
      <c r="K1379" s="331"/>
      <c r="L1379" s="316"/>
      <c r="M1379" s="7"/>
      <c r="N1379" s="206"/>
    </row>
    <row r="1380" spans="1:14" s="6" customFormat="1" ht="15" customHeight="1" x14ac:dyDescent="0.25">
      <c r="A1380" s="506"/>
      <c r="B1380" s="332"/>
      <c r="C1380" s="331"/>
      <c r="D1380" s="316"/>
      <c r="E1380" s="331"/>
      <c r="F1380" s="316"/>
      <c r="G1380" s="331"/>
      <c r="H1380" s="316"/>
      <c r="I1380" s="331"/>
      <c r="J1380" s="316"/>
      <c r="K1380" s="386"/>
      <c r="L1380" s="316"/>
      <c r="M1380" s="7"/>
      <c r="N1380" s="217"/>
    </row>
    <row r="1381" spans="1:14" s="6" customFormat="1" ht="15" customHeight="1" x14ac:dyDescent="0.25">
      <c r="A1381" s="506"/>
      <c r="B1381" s="332"/>
      <c r="C1381" s="380"/>
      <c r="D1381" s="319"/>
      <c r="E1381" s="380"/>
      <c r="F1381" s="319"/>
      <c r="G1381" s="381"/>
      <c r="H1381" s="382"/>
      <c r="I1381" s="380"/>
      <c r="J1381" s="319"/>
      <c r="K1381" s="380"/>
      <c r="L1381" s="319"/>
      <c r="M1381" s="7"/>
      <c r="N1381" s="217"/>
    </row>
    <row r="1382" spans="1:14" s="6" customFormat="1" ht="15" customHeight="1" x14ac:dyDescent="0.25">
      <c r="A1382" s="492"/>
      <c r="B1382" s="332"/>
      <c r="C1382" s="210">
        <f>K1375+3</f>
        <v>43080</v>
      </c>
      <c r="D1382" s="225"/>
      <c r="E1382" s="213">
        <f>C1382+1</f>
        <v>43081</v>
      </c>
      <c r="F1382" s="222"/>
      <c r="G1382" s="213">
        <f>E1382+1</f>
        <v>43082</v>
      </c>
      <c r="H1382" s="223"/>
      <c r="I1382" s="213">
        <f>G1382+1</f>
        <v>43083</v>
      </c>
      <c r="J1382" s="222"/>
      <c r="K1382" s="213">
        <f>I1382+1</f>
        <v>43084</v>
      </c>
      <c r="L1382" s="222"/>
      <c r="M1382" s="7"/>
      <c r="N1382" s="206"/>
    </row>
    <row r="1383" spans="1:14" s="6" customFormat="1" ht="15" customHeight="1" x14ac:dyDescent="0.25">
      <c r="A1383" s="506"/>
      <c r="B1383" s="332"/>
      <c r="C1383" s="476"/>
      <c r="D1383" s="456"/>
      <c r="E1383" s="530"/>
      <c r="F1383" s="316"/>
      <c r="G1383" s="331"/>
      <c r="H1383" s="316"/>
      <c r="I1383" s="331"/>
      <c r="J1383" s="316"/>
      <c r="K1383" s="331"/>
      <c r="L1383" s="316"/>
      <c r="M1383" s="7"/>
      <c r="N1383" s="206"/>
    </row>
    <row r="1384" spans="1:14" s="6" customFormat="1" ht="15" customHeight="1" x14ac:dyDescent="0.25">
      <c r="A1384" s="506"/>
      <c r="B1384" s="332"/>
      <c r="C1384" s="331"/>
      <c r="D1384" s="316"/>
      <c r="E1384" s="331"/>
      <c r="F1384" s="316"/>
      <c r="G1384" s="331"/>
      <c r="H1384" s="316"/>
      <c r="I1384" s="331"/>
      <c r="J1384" s="316"/>
      <c r="K1384" s="459"/>
      <c r="L1384" s="316"/>
      <c r="M1384" s="7"/>
      <c r="N1384" s="206"/>
    </row>
    <row r="1385" spans="1:14" s="6" customFormat="1" ht="15" customHeight="1" x14ac:dyDescent="0.25">
      <c r="A1385" s="506"/>
      <c r="B1385" s="332"/>
      <c r="C1385" s="386" t="s">
        <v>168</v>
      </c>
      <c r="D1385" s="384"/>
      <c r="E1385" s="331"/>
      <c r="F1385" s="316"/>
      <c r="G1385" s="331"/>
      <c r="H1385" s="316"/>
      <c r="I1385" s="331"/>
      <c r="J1385" s="379"/>
      <c r="K1385" s="331"/>
      <c r="L1385" s="316"/>
      <c r="M1385" s="7"/>
      <c r="N1385" s="206"/>
    </row>
    <row r="1386" spans="1:14" s="6" customFormat="1" ht="15" customHeight="1" x14ac:dyDescent="0.25">
      <c r="A1386" s="506"/>
      <c r="B1386" s="332"/>
      <c r="C1386" s="331"/>
      <c r="D1386" s="316"/>
      <c r="E1386" s="331"/>
      <c r="F1386" s="316"/>
      <c r="G1386" s="331"/>
      <c r="H1386" s="316"/>
      <c r="I1386" s="331"/>
      <c r="J1386" s="316"/>
      <c r="K1386" s="331"/>
      <c r="L1386" s="316"/>
      <c r="M1386" s="7"/>
      <c r="N1386" s="206"/>
    </row>
    <row r="1387" spans="1:14" s="6" customFormat="1" ht="15" customHeight="1" x14ac:dyDescent="0.25">
      <c r="A1387" s="506"/>
      <c r="B1387" s="332"/>
      <c r="C1387" s="331"/>
      <c r="D1387" s="316"/>
      <c r="E1387" s="331"/>
      <c r="F1387" s="316"/>
      <c r="G1387" s="331"/>
      <c r="H1387" s="316"/>
      <c r="I1387" s="331"/>
      <c r="J1387" s="316"/>
      <c r="K1387" s="331"/>
      <c r="L1387" s="316"/>
      <c r="M1387" s="7"/>
      <c r="N1387" s="206"/>
    </row>
    <row r="1388" spans="1:14" s="6" customFormat="1" ht="15" customHeight="1" x14ac:dyDescent="0.25">
      <c r="A1388" s="506"/>
      <c r="B1388" s="332"/>
      <c r="C1388" s="380"/>
      <c r="D1388" s="319"/>
      <c r="E1388" s="380"/>
      <c r="F1388" s="319"/>
      <c r="G1388" s="381"/>
      <c r="H1388" s="382"/>
      <c r="I1388" s="380"/>
      <c r="J1388" s="319"/>
      <c r="K1388" s="380"/>
      <c r="L1388" s="319"/>
      <c r="M1388" s="7"/>
      <c r="N1388" s="206"/>
    </row>
    <row r="1389" spans="1:14" s="6" customFormat="1" ht="15" customHeight="1" x14ac:dyDescent="0.25">
      <c r="A1389" s="32"/>
      <c r="B1389" s="308" t="s">
        <v>12</v>
      </c>
      <c r="C1389" s="210">
        <f>K1382+3</f>
        <v>43087</v>
      </c>
      <c r="D1389" s="222"/>
      <c r="E1389" s="213">
        <f>C1389+1</f>
        <v>43088</v>
      </c>
      <c r="F1389" s="222"/>
      <c r="G1389" s="213">
        <f>E1389+1</f>
        <v>43089</v>
      </c>
      <c r="H1389" s="222"/>
      <c r="I1389" s="213">
        <f>G1389+1</f>
        <v>43090</v>
      </c>
      <c r="J1389" s="222"/>
      <c r="K1389" s="213">
        <f>I1389+1</f>
        <v>43091</v>
      </c>
      <c r="L1389" s="222"/>
      <c r="M1389" s="7"/>
      <c r="N1389" s="206"/>
    </row>
    <row r="1390" spans="1:14" s="6" customFormat="1" ht="15" customHeight="1" x14ac:dyDescent="0.25">
      <c r="A1390" s="32"/>
      <c r="B1390" s="308"/>
      <c r="C1390" s="317"/>
      <c r="D1390" s="316"/>
      <c r="E1390" s="331"/>
      <c r="F1390" s="316"/>
      <c r="G1390" s="331"/>
      <c r="H1390" s="316"/>
      <c r="I1390" s="331"/>
      <c r="J1390" s="316"/>
      <c r="K1390" s="331"/>
      <c r="L1390" s="316"/>
      <c r="M1390" s="7"/>
      <c r="N1390" s="206"/>
    </row>
    <row r="1391" spans="1:14" s="6" customFormat="1" ht="15" customHeight="1" x14ac:dyDescent="0.25">
      <c r="A1391" s="32"/>
      <c r="B1391" s="308"/>
      <c r="C1391" s="317"/>
      <c r="D1391" s="316"/>
      <c r="E1391" s="331"/>
      <c r="F1391" s="316"/>
      <c r="G1391" s="331"/>
      <c r="H1391" s="316"/>
      <c r="I1391" s="331"/>
      <c r="J1391" s="316"/>
      <c r="K1391" s="331"/>
      <c r="L1391" s="316"/>
      <c r="M1391" s="7"/>
      <c r="N1391" s="206"/>
    </row>
    <row r="1392" spans="1:14" s="6" customFormat="1" ht="15" customHeight="1" x14ac:dyDescent="0.25">
      <c r="A1392" s="32"/>
      <c r="B1392" s="308"/>
      <c r="C1392" s="383" t="s">
        <v>168</v>
      </c>
      <c r="D1392" s="384"/>
      <c r="E1392" s="331"/>
      <c r="F1392" s="316"/>
      <c r="G1392" s="331"/>
      <c r="H1392" s="316"/>
      <c r="I1392" s="331"/>
      <c r="J1392" s="316"/>
      <c r="K1392" s="331"/>
      <c r="L1392" s="316"/>
      <c r="M1392" s="7"/>
      <c r="N1392" s="206"/>
    </row>
    <row r="1393" spans="1:14" s="6" customFormat="1" ht="15" customHeight="1" x14ac:dyDescent="0.25">
      <c r="A1393" s="32"/>
      <c r="B1393" s="308"/>
      <c r="C1393" s="317"/>
      <c r="D1393" s="316"/>
      <c r="E1393" s="331"/>
      <c r="F1393" s="316"/>
      <c r="G1393" s="331"/>
      <c r="H1393" s="316"/>
      <c r="I1393" s="331"/>
      <c r="J1393" s="316"/>
      <c r="K1393" s="331"/>
      <c r="L1393" s="316"/>
      <c r="M1393" s="7"/>
      <c r="N1393" s="206"/>
    </row>
    <row r="1394" spans="1:14" s="6" customFormat="1" ht="15" customHeight="1" x14ac:dyDescent="0.25">
      <c r="A1394" s="32"/>
      <c r="B1394" s="308"/>
      <c r="C1394" s="317"/>
      <c r="D1394" s="316"/>
      <c r="E1394" s="331"/>
      <c r="F1394" s="316"/>
      <c r="G1394" s="331"/>
      <c r="H1394" s="316"/>
      <c r="I1394" s="331"/>
      <c r="J1394" s="316"/>
      <c r="K1394" s="331"/>
      <c r="L1394" s="316"/>
      <c r="M1394" s="7"/>
      <c r="N1394" s="206"/>
    </row>
    <row r="1395" spans="1:14" s="6" customFormat="1" ht="15" customHeight="1" x14ac:dyDescent="0.25">
      <c r="A1395" s="32"/>
      <c r="B1395" s="308"/>
      <c r="C1395" s="318"/>
      <c r="D1395" s="319"/>
      <c r="E1395" s="380"/>
      <c r="F1395" s="319"/>
      <c r="G1395" s="381"/>
      <c r="H1395" s="382"/>
      <c r="I1395" s="380"/>
      <c r="J1395" s="319"/>
      <c r="K1395" s="380"/>
      <c r="L1395" s="319"/>
      <c r="M1395" s="7"/>
      <c r="N1395" s="206"/>
    </row>
    <row r="1396" spans="1:14" s="6" customFormat="1" ht="15" customHeight="1" x14ac:dyDescent="0.25">
      <c r="A1396" s="32"/>
      <c r="B1396" s="308"/>
      <c r="C1396" s="210">
        <f>K1389+3</f>
        <v>43094</v>
      </c>
      <c r="D1396" s="222"/>
      <c r="E1396" s="213">
        <f>C1396+1</f>
        <v>43095</v>
      </c>
      <c r="F1396" s="222"/>
      <c r="G1396" s="213">
        <f>E1396+1</f>
        <v>43096</v>
      </c>
      <c r="H1396" s="222"/>
      <c r="I1396" s="213">
        <f>G1396+1</f>
        <v>43097</v>
      </c>
      <c r="J1396" s="222"/>
      <c r="K1396" s="213">
        <f>I1396+1</f>
        <v>43098</v>
      </c>
      <c r="L1396" s="222"/>
      <c r="M1396" s="7"/>
      <c r="N1396" s="206"/>
    </row>
    <row r="1397" spans="1:14" s="6" customFormat="1" ht="15" customHeight="1" x14ac:dyDescent="0.25">
      <c r="A1397" s="32"/>
      <c r="B1397" s="308"/>
      <c r="C1397" s="317"/>
      <c r="D1397" s="316"/>
      <c r="E1397" s="331"/>
      <c r="F1397" s="316"/>
      <c r="G1397" s="331"/>
      <c r="H1397" s="316"/>
      <c r="I1397" s="331"/>
      <c r="J1397" s="316"/>
      <c r="K1397" s="331"/>
      <c r="L1397" s="316"/>
      <c r="M1397" s="7"/>
      <c r="N1397" s="206"/>
    </row>
    <row r="1398" spans="1:14" s="6" customFormat="1" ht="15" customHeight="1" x14ac:dyDescent="0.25">
      <c r="A1398" s="32"/>
      <c r="B1398" s="308"/>
      <c r="C1398" s="317"/>
      <c r="D1398" s="316"/>
      <c r="E1398" s="331"/>
      <c r="F1398" s="316"/>
      <c r="G1398" s="331"/>
      <c r="H1398" s="316"/>
      <c r="I1398" s="331"/>
      <c r="J1398" s="316"/>
      <c r="K1398" s="331"/>
      <c r="L1398" s="316"/>
      <c r="M1398" s="7"/>
      <c r="N1398" s="206"/>
    </row>
    <row r="1399" spans="1:14" s="6" customFormat="1" ht="15" customHeight="1" x14ac:dyDescent="0.25">
      <c r="A1399" s="32"/>
      <c r="B1399" s="308"/>
      <c r="C1399" s="383"/>
      <c r="D1399" s="384"/>
      <c r="E1399" s="331"/>
      <c r="F1399" s="316"/>
      <c r="G1399" s="331"/>
      <c r="H1399" s="316"/>
      <c r="I1399" s="331"/>
      <c r="J1399" s="316"/>
      <c r="K1399" s="331"/>
      <c r="L1399" s="316"/>
      <c r="M1399" s="7"/>
      <c r="N1399" s="206"/>
    </row>
    <row r="1400" spans="1:14" s="6" customFormat="1" ht="15" customHeight="1" x14ac:dyDescent="0.25">
      <c r="A1400" s="32"/>
      <c r="B1400" s="308"/>
      <c r="C1400" s="317"/>
      <c r="D1400" s="316"/>
      <c r="E1400" s="331"/>
      <c r="F1400" s="316"/>
      <c r="G1400" s="331"/>
      <c r="H1400" s="316"/>
      <c r="I1400" s="331"/>
      <c r="J1400" s="316"/>
      <c r="K1400" s="331"/>
      <c r="L1400" s="316"/>
      <c r="M1400" s="7"/>
      <c r="N1400" s="206"/>
    </row>
    <row r="1401" spans="1:14" s="6" customFormat="1" ht="15" customHeight="1" x14ac:dyDescent="0.25">
      <c r="A1401" s="32"/>
      <c r="B1401" s="308"/>
      <c r="C1401" s="317"/>
      <c r="D1401" s="316"/>
      <c r="E1401" s="331"/>
      <c r="F1401" s="316"/>
      <c r="G1401" s="331"/>
      <c r="H1401" s="316"/>
      <c r="I1401" s="331"/>
      <c r="J1401" s="316"/>
      <c r="K1401" s="331"/>
      <c r="L1401" s="316"/>
      <c r="M1401" s="7"/>
      <c r="N1401" s="206"/>
    </row>
    <row r="1402" spans="1:14" s="6" customFormat="1" ht="15" customHeight="1" x14ac:dyDescent="0.25">
      <c r="A1402" s="32"/>
      <c r="B1402" s="309"/>
      <c r="C1402" s="318"/>
      <c r="D1402" s="319"/>
      <c r="E1402" s="380"/>
      <c r="F1402" s="319"/>
      <c r="G1402" s="381"/>
      <c r="H1402" s="382"/>
      <c r="I1402" s="380"/>
      <c r="J1402" s="319"/>
      <c r="K1402" s="331"/>
      <c r="L1402" s="316"/>
      <c r="M1402" s="7"/>
      <c r="N1402" s="206"/>
    </row>
    <row r="1403" spans="1:14" s="6" customFormat="1" ht="15" customHeight="1" x14ac:dyDescent="0.25">
      <c r="A1403" s="32"/>
      <c r="B1403" s="330"/>
      <c r="C1403" s="210">
        <f>K1396+3</f>
        <v>43101</v>
      </c>
      <c r="D1403" s="232"/>
      <c r="E1403" s="213">
        <f>C1403+1</f>
        <v>43102</v>
      </c>
      <c r="F1403" s="222"/>
      <c r="G1403" s="213">
        <f>E1403+1</f>
        <v>43103</v>
      </c>
      <c r="H1403" s="222"/>
      <c r="I1403" s="213">
        <f>G1403+1</f>
        <v>43104</v>
      </c>
      <c r="J1403" s="222"/>
      <c r="K1403" s="213">
        <f>I1403+1</f>
        <v>43105</v>
      </c>
      <c r="L1403" s="222"/>
      <c r="M1403" s="7"/>
      <c r="N1403" s="206"/>
    </row>
    <row r="1404" spans="1:14" s="6" customFormat="1" ht="15" customHeight="1" x14ac:dyDescent="0.25">
      <c r="A1404" s="32"/>
      <c r="B1404" s="330"/>
      <c r="C1404" s="317"/>
      <c r="D1404" s="316"/>
      <c r="E1404" s="331"/>
      <c r="F1404" s="316"/>
      <c r="G1404" s="331"/>
      <c r="H1404" s="316"/>
      <c r="I1404" s="331"/>
      <c r="J1404" s="316"/>
      <c r="K1404" s="331"/>
      <c r="L1404" s="316"/>
      <c r="M1404" s="7"/>
      <c r="N1404" s="206"/>
    </row>
    <row r="1405" spans="1:14" s="6" customFormat="1" ht="15" customHeight="1" x14ac:dyDescent="0.25">
      <c r="A1405" s="32"/>
      <c r="B1405" s="330"/>
      <c r="C1405" s="317"/>
      <c r="D1405" s="316"/>
      <c r="E1405" s="331"/>
      <c r="F1405" s="316"/>
      <c r="G1405" s="331"/>
      <c r="H1405" s="316"/>
      <c r="I1405" s="331"/>
      <c r="J1405" s="316"/>
      <c r="K1405" s="331"/>
      <c r="L1405" s="316"/>
      <c r="M1405" s="7"/>
      <c r="N1405" s="206"/>
    </row>
    <row r="1406" spans="1:14" s="6" customFormat="1" ht="15" customHeight="1" x14ac:dyDescent="0.25">
      <c r="A1406" s="32"/>
      <c r="B1406" s="330"/>
      <c r="C1406" s="383" t="s">
        <v>168</v>
      </c>
      <c r="D1406" s="384"/>
      <c r="E1406" s="331"/>
      <c r="F1406" s="316"/>
      <c r="G1406" s="331"/>
      <c r="H1406" s="316"/>
      <c r="I1406" s="331"/>
      <c r="J1406" s="316"/>
      <c r="K1406" s="331"/>
      <c r="L1406" s="316"/>
      <c r="M1406" s="7"/>
      <c r="N1406" s="206"/>
    </row>
    <row r="1407" spans="1:14" s="6" customFormat="1" ht="15" customHeight="1" x14ac:dyDescent="0.25">
      <c r="A1407" s="32"/>
      <c r="B1407" s="330"/>
      <c r="C1407" s="317"/>
      <c r="D1407" s="316"/>
      <c r="E1407" s="331"/>
      <c r="F1407" s="316"/>
      <c r="G1407" s="331"/>
      <c r="H1407" s="316"/>
      <c r="I1407" s="331"/>
      <c r="J1407" s="316"/>
      <c r="K1407" s="331"/>
      <c r="L1407" s="316"/>
      <c r="M1407" s="7"/>
      <c r="N1407" s="206"/>
    </row>
    <row r="1408" spans="1:14" s="6" customFormat="1" ht="15" customHeight="1" x14ac:dyDescent="0.25">
      <c r="A1408" s="32"/>
      <c r="B1408" s="330"/>
      <c r="C1408" s="317"/>
      <c r="D1408" s="316"/>
      <c r="E1408" s="331"/>
      <c r="F1408" s="316"/>
      <c r="G1408" s="331"/>
      <c r="H1408" s="316"/>
      <c r="I1408" s="331"/>
      <c r="J1408" s="316"/>
      <c r="K1408" s="331"/>
      <c r="L1408" s="316"/>
      <c r="M1408" s="7"/>
      <c r="N1408" s="206"/>
    </row>
    <row r="1409" spans="1:14" s="6" customFormat="1" ht="15" customHeight="1" x14ac:dyDescent="0.25">
      <c r="A1409" s="32"/>
      <c r="B1409" s="330"/>
      <c r="C1409" s="318"/>
      <c r="D1409" s="319"/>
      <c r="E1409" s="380"/>
      <c r="F1409" s="319"/>
      <c r="G1409" s="381"/>
      <c r="H1409" s="382"/>
      <c r="I1409" s="380"/>
      <c r="J1409" s="319"/>
      <c r="K1409" s="331"/>
      <c r="L1409" s="316"/>
      <c r="M1409" s="7"/>
      <c r="N1409" s="206"/>
    </row>
    <row r="1410" spans="1:14" s="6" customFormat="1" ht="15" customHeight="1" x14ac:dyDescent="0.25">
      <c r="A1410" s="32"/>
      <c r="B1410" s="330"/>
      <c r="C1410" s="210">
        <f>K1403+3</f>
        <v>43108</v>
      </c>
      <c r="D1410" s="222"/>
      <c r="E1410" s="213">
        <f>C1410+1</f>
        <v>43109</v>
      </c>
      <c r="F1410" s="222"/>
      <c r="G1410" s="213">
        <f>E1410+1</f>
        <v>43110</v>
      </c>
      <c r="H1410" s="225"/>
      <c r="I1410" s="213">
        <f>G1410+1</f>
        <v>43111</v>
      </c>
      <c r="J1410" s="225"/>
      <c r="K1410" s="213">
        <f>I1410+1</f>
        <v>43112</v>
      </c>
      <c r="L1410" s="222"/>
      <c r="M1410" s="7"/>
      <c r="N1410" s="206"/>
    </row>
    <row r="1411" spans="1:14" s="6" customFormat="1" ht="15" customHeight="1" x14ac:dyDescent="0.25">
      <c r="A1411" s="32"/>
      <c r="B1411" s="330"/>
      <c r="C1411" s="317"/>
      <c r="D1411" s="316"/>
      <c r="E1411" s="331"/>
      <c r="F1411" s="316"/>
      <c r="G1411" s="331"/>
      <c r="H1411" s="316"/>
      <c r="I1411" s="331"/>
      <c r="J1411" s="316"/>
      <c r="K1411" s="331"/>
      <c r="L1411" s="316"/>
      <c r="M1411" s="7"/>
      <c r="N1411" s="206"/>
    </row>
    <row r="1412" spans="1:14" s="6" customFormat="1" ht="15" customHeight="1" x14ac:dyDescent="0.3">
      <c r="A1412" s="36" t="s">
        <v>144</v>
      </c>
      <c r="B1412" s="330"/>
      <c r="C1412" s="317"/>
      <c r="D1412" s="316"/>
      <c r="E1412" s="331"/>
      <c r="F1412" s="316"/>
      <c r="G1412" s="331"/>
      <c r="H1412" s="316"/>
      <c r="I1412" s="331"/>
      <c r="J1412" s="316"/>
      <c r="K1412" s="331"/>
      <c r="L1412" s="316"/>
      <c r="M1412" s="7"/>
      <c r="N1412" s="206"/>
    </row>
    <row r="1413" spans="1:14" s="6" customFormat="1" ht="15" customHeight="1" x14ac:dyDescent="0.25">
      <c r="A1413" s="32"/>
      <c r="B1413" s="330"/>
      <c r="C1413" s="383"/>
      <c r="D1413" s="384"/>
      <c r="E1413" s="331"/>
      <c r="F1413" s="316"/>
      <c r="G1413" s="331"/>
      <c r="H1413" s="316"/>
      <c r="I1413" s="331"/>
      <c r="J1413" s="316"/>
      <c r="K1413" s="331"/>
      <c r="L1413" s="316"/>
      <c r="M1413" s="7"/>
      <c r="N1413" s="206"/>
    </row>
    <row r="1414" spans="1:14" s="6" customFormat="1" ht="15" customHeight="1" x14ac:dyDescent="0.25">
      <c r="A1414" s="32"/>
      <c r="B1414" s="330"/>
      <c r="C1414" s="317"/>
      <c r="D1414" s="316"/>
      <c r="E1414" s="331"/>
      <c r="F1414" s="316"/>
      <c r="G1414" s="331"/>
      <c r="H1414" s="316"/>
      <c r="I1414" s="331"/>
      <c r="J1414" s="316"/>
      <c r="K1414" s="331"/>
      <c r="L1414" s="316"/>
      <c r="M1414" s="7"/>
      <c r="N1414" s="206"/>
    </row>
    <row r="1415" spans="1:14" s="6" customFormat="1" ht="15" customHeight="1" x14ac:dyDescent="0.25">
      <c r="A1415" s="32"/>
      <c r="B1415" s="330"/>
      <c r="C1415" s="317"/>
      <c r="D1415" s="316"/>
      <c r="E1415" s="331"/>
      <c r="F1415" s="316"/>
      <c r="G1415" s="331"/>
      <c r="H1415" s="316"/>
      <c r="I1415" s="331"/>
      <c r="J1415" s="316"/>
      <c r="K1415" s="331"/>
      <c r="L1415" s="316"/>
      <c r="M1415" s="7"/>
      <c r="N1415" s="206"/>
    </row>
    <row r="1416" spans="1:14" s="6" customFormat="1" ht="15" customHeight="1" x14ac:dyDescent="0.25">
      <c r="A1416" s="32"/>
      <c r="B1416" s="330"/>
      <c r="C1416" s="318"/>
      <c r="D1416" s="319"/>
      <c r="E1416" s="380"/>
      <c r="F1416" s="319"/>
      <c r="G1416" s="381"/>
      <c r="H1416" s="382"/>
      <c r="I1416" s="380"/>
      <c r="J1416" s="319"/>
      <c r="K1416" s="331"/>
      <c r="L1416" s="316"/>
      <c r="M1416" s="7"/>
      <c r="N1416" s="206"/>
    </row>
    <row r="1417" spans="1:14" s="6" customFormat="1" ht="15" customHeight="1" x14ac:dyDescent="0.25">
      <c r="A1417" s="32"/>
      <c r="B1417" s="330"/>
      <c r="C1417" s="210">
        <f>K1410+3</f>
        <v>43115</v>
      </c>
      <c r="D1417" s="222"/>
      <c r="E1417" s="213">
        <f>C1417+1</f>
        <v>43116</v>
      </c>
      <c r="F1417" s="222"/>
      <c r="G1417" s="213">
        <f>E1417+1</f>
        <v>43117</v>
      </c>
      <c r="H1417" s="222"/>
      <c r="I1417" s="213">
        <f>G1417+1</f>
        <v>43118</v>
      </c>
      <c r="J1417" s="222"/>
      <c r="K1417" s="213">
        <f>I1417+1</f>
        <v>43119</v>
      </c>
      <c r="L1417" s="222"/>
      <c r="M1417" s="7"/>
      <c r="N1417" s="206"/>
    </row>
    <row r="1418" spans="1:14" s="6" customFormat="1" ht="15" customHeight="1" x14ac:dyDescent="0.25">
      <c r="A1418" s="32"/>
      <c r="B1418" s="330"/>
      <c r="C1418" s="317"/>
      <c r="D1418" s="316"/>
      <c r="E1418" s="331"/>
      <c r="F1418" s="316"/>
      <c r="G1418" s="331"/>
      <c r="H1418" s="316"/>
      <c r="I1418" s="331"/>
      <c r="J1418" s="316"/>
      <c r="K1418" s="331"/>
      <c r="L1418" s="316"/>
      <c r="M1418" s="7"/>
      <c r="N1418" s="206"/>
    </row>
    <row r="1419" spans="1:14" s="6" customFormat="1" ht="15" customHeight="1" x14ac:dyDescent="0.25">
      <c r="A1419" s="32"/>
      <c r="B1419" s="330"/>
      <c r="C1419" s="317"/>
      <c r="D1419" s="316"/>
      <c r="E1419" s="331"/>
      <c r="F1419" s="316"/>
      <c r="G1419" s="331"/>
      <c r="H1419" s="316"/>
      <c r="I1419" s="331"/>
      <c r="J1419" s="316"/>
      <c r="K1419" s="331"/>
      <c r="L1419" s="316"/>
      <c r="M1419" s="7"/>
      <c r="N1419" s="206"/>
    </row>
    <row r="1420" spans="1:14" s="6" customFormat="1" ht="15" customHeight="1" x14ac:dyDescent="0.25">
      <c r="A1420" s="32"/>
      <c r="B1420" s="330"/>
      <c r="C1420" s="383"/>
      <c r="D1420" s="384"/>
      <c r="E1420" s="331"/>
      <c r="F1420" s="316"/>
      <c r="G1420" s="331"/>
      <c r="H1420" s="316"/>
      <c r="I1420" s="331"/>
      <c r="J1420" s="316"/>
      <c r="K1420" s="331"/>
      <c r="L1420" s="316"/>
      <c r="M1420" s="7"/>
      <c r="N1420" s="206"/>
    </row>
    <row r="1421" spans="1:14" s="6" customFormat="1" ht="15" customHeight="1" x14ac:dyDescent="0.25">
      <c r="A1421" s="32"/>
      <c r="B1421" s="330"/>
      <c r="C1421" s="317"/>
      <c r="D1421" s="316"/>
      <c r="E1421" s="331"/>
      <c r="F1421" s="316"/>
      <c r="G1421" s="331"/>
      <c r="H1421" s="316"/>
      <c r="I1421" s="331"/>
      <c r="J1421" s="316"/>
      <c r="K1421" s="331"/>
      <c r="L1421" s="316"/>
      <c r="M1421" s="7"/>
      <c r="N1421" s="206"/>
    </row>
    <row r="1422" spans="1:14" s="6" customFormat="1" ht="15" customHeight="1" x14ac:dyDescent="0.25">
      <c r="A1422" s="32"/>
      <c r="B1422" s="330"/>
      <c r="C1422" s="317"/>
      <c r="D1422" s="316"/>
      <c r="E1422" s="331"/>
      <c r="F1422" s="316"/>
      <c r="G1422" s="331"/>
      <c r="H1422" s="316"/>
      <c r="I1422" s="331"/>
      <c r="J1422" s="316"/>
      <c r="K1422" s="331"/>
      <c r="L1422" s="316"/>
      <c r="M1422" s="7"/>
      <c r="N1422" s="206"/>
    </row>
    <row r="1423" spans="1:14" s="6" customFormat="1" ht="15" customHeight="1" x14ac:dyDescent="0.25">
      <c r="A1423" s="32"/>
      <c r="B1423" s="330"/>
      <c r="C1423" s="318"/>
      <c r="D1423" s="319"/>
      <c r="E1423" s="380"/>
      <c r="F1423" s="319"/>
      <c r="G1423" s="381"/>
      <c r="H1423" s="382"/>
      <c r="I1423" s="380"/>
      <c r="J1423" s="319"/>
      <c r="K1423" s="331"/>
      <c r="L1423" s="316"/>
      <c r="M1423" s="7"/>
      <c r="N1423" s="206"/>
    </row>
    <row r="1424" spans="1:14" s="6" customFormat="1" ht="15" customHeight="1" x14ac:dyDescent="0.25">
      <c r="A1424" s="32"/>
      <c r="B1424" s="48"/>
      <c r="C1424" s="210">
        <f>K1417+3</f>
        <v>43122</v>
      </c>
      <c r="D1424" s="222"/>
      <c r="E1424" s="213">
        <f>C1424+1</f>
        <v>43123</v>
      </c>
      <c r="F1424" s="222"/>
      <c r="G1424" s="213">
        <f>E1424+1</f>
        <v>43124</v>
      </c>
      <c r="H1424" s="222"/>
      <c r="I1424" s="213">
        <f>G1424+1</f>
        <v>43125</v>
      </c>
      <c r="J1424" s="222"/>
      <c r="K1424" s="213">
        <f>I1424+1</f>
        <v>43126</v>
      </c>
      <c r="L1424" s="222"/>
      <c r="M1424" s="7"/>
      <c r="N1424" s="206"/>
    </row>
    <row r="1425" spans="1:14" s="6" customFormat="1" ht="15" customHeight="1" x14ac:dyDescent="0.25">
      <c r="A1425" s="32"/>
      <c r="B1425" s="48"/>
      <c r="C1425" s="317"/>
      <c r="D1425" s="316"/>
      <c r="E1425" s="331"/>
      <c r="F1425" s="316"/>
      <c r="G1425" s="331"/>
      <c r="H1425" s="316"/>
      <c r="I1425" s="331"/>
      <c r="J1425" s="316"/>
      <c r="K1425" s="331"/>
      <c r="L1425" s="316"/>
      <c r="M1425" s="7"/>
      <c r="N1425" s="206"/>
    </row>
    <row r="1426" spans="1:14" s="6" customFormat="1" ht="15" customHeight="1" x14ac:dyDescent="0.25">
      <c r="A1426" s="32"/>
      <c r="B1426" s="48"/>
      <c r="C1426" s="317"/>
      <c r="D1426" s="316"/>
      <c r="E1426" s="331"/>
      <c r="F1426" s="316"/>
      <c r="G1426" s="331"/>
      <c r="H1426" s="316"/>
      <c r="I1426" s="331"/>
      <c r="J1426" s="316"/>
      <c r="K1426" s="331"/>
      <c r="L1426" s="316"/>
      <c r="M1426" s="7"/>
      <c r="N1426" s="206"/>
    </row>
    <row r="1427" spans="1:14" s="6" customFormat="1" ht="15" customHeight="1" x14ac:dyDescent="0.25">
      <c r="A1427" s="32"/>
      <c r="B1427" s="48"/>
      <c r="C1427" s="383"/>
      <c r="D1427" s="384"/>
      <c r="E1427" s="331"/>
      <c r="F1427" s="316"/>
      <c r="G1427" s="331"/>
      <c r="H1427" s="316"/>
      <c r="I1427" s="331"/>
      <c r="J1427" s="316"/>
      <c r="K1427" s="331"/>
      <c r="L1427" s="316"/>
      <c r="M1427" s="7"/>
      <c r="N1427" s="206"/>
    </row>
    <row r="1428" spans="1:14" s="6" customFormat="1" ht="15" customHeight="1" x14ac:dyDescent="0.25">
      <c r="A1428" s="32"/>
      <c r="B1428" s="48"/>
      <c r="C1428" s="317"/>
      <c r="D1428" s="316"/>
      <c r="E1428" s="331"/>
      <c r="F1428" s="316"/>
      <c r="G1428" s="331"/>
      <c r="H1428" s="316"/>
      <c r="I1428" s="331"/>
      <c r="J1428" s="316"/>
      <c r="K1428" s="331"/>
      <c r="L1428" s="316"/>
      <c r="M1428" s="7"/>
      <c r="N1428" s="206"/>
    </row>
    <row r="1429" spans="1:14" s="6" customFormat="1" ht="15" customHeight="1" x14ac:dyDescent="0.25">
      <c r="A1429" s="32"/>
      <c r="B1429" s="48"/>
      <c r="C1429" s="317"/>
      <c r="D1429" s="316"/>
      <c r="E1429" s="331"/>
      <c r="F1429" s="316"/>
      <c r="G1429" s="331"/>
      <c r="H1429" s="316"/>
      <c r="I1429" s="331"/>
      <c r="J1429" s="316"/>
      <c r="K1429" s="331"/>
      <c r="L1429" s="316"/>
      <c r="M1429" s="7"/>
      <c r="N1429" s="206"/>
    </row>
    <row r="1430" spans="1:14" s="6" customFormat="1" ht="15" customHeight="1" x14ac:dyDescent="0.25">
      <c r="A1430" s="32"/>
      <c r="B1430" s="48"/>
      <c r="C1430" s="318"/>
      <c r="D1430" s="319"/>
      <c r="E1430" s="380"/>
      <c r="F1430" s="319"/>
      <c r="G1430" s="381"/>
      <c r="H1430" s="382"/>
      <c r="I1430" s="380"/>
      <c r="J1430" s="319"/>
      <c r="K1430" s="331"/>
      <c r="L1430" s="316"/>
      <c r="M1430" s="7"/>
      <c r="N1430" s="206"/>
    </row>
    <row r="1431" spans="1:14" s="6" customFormat="1" ht="15" customHeight="1" x14ac:dyDescent="0.25">
      <c r="A1431" s="32"/>
      <c r="B1431" s="306" t="s">
        <v>152</v>
      </c>
      <c r="C1431" s="210">
        <f>K1424+3</f>
        <v>43129</v>
      </c>
      <c r="D1431" s="222"/>
      <c r="E1431" s="213">
        <f>C1431+1</f>
        <v>43130</v>
      </c>
      <c r="F1431" s="225"/>
      <c r="G1431" s="213">
        <f>E1431+1</f>
        <v>43131</v>
      </c>
      <c r="H1431" s="222"/>
      <c r="I1431" s="213">
        <f>G1431+1</f>
        <v>43132</v>
      </c>
      <c r="J1431" s="222"/>
      <c r="K1431" s="213">
        <f>I1431+1</f>
        <v>43133</v>
      </c>
      <c r="L1431" s="222"/>
      <c r="M1431" s="7"/>
      <c r="N1431" s="206"/>
    </row>
    <row r="1432" spans="1:14" s="6" customFormat="1" ht="15" customHeight="1" x14ac:dyDescent="0.25">
      <c r="A1432" s="32"/>
      <c r="B1432" s="306"/>
      <c r="C1432" s="317"/>
      <c r="D1432" s="316"/>
      <c r="E1432" s="331"/>
      <c r="F1432" s="316"/>
      <c r="G1432" s="331"/>
      <c r="H1432" s="316"/>
      <c r="I1432" s="331"/>
      <c r="J1432" s="316"/>
      <c r="K1432" s="331"/>
      <c r="L1432" s="316"/>
      <c r="M1432" s="7"/>
      <c r="N1432" s="206"/>
    </row>
    <row r="1433" spans="1:14" s="6" customFormat="1" ht="15" customHeight="1" x14ac:dyDescent="0.25">
      <c r="A1433" s="32"/>
      <c r="B1433" s="306"/>
      <c r="C1433" s="317"/>
      <c r="D1433" s="316"/>
      <c r="E1433" s="331"/>
      <c r="F1433" s="316"/>
      <c r="G1433" s="331"/>
      <c r="H1433" s="316"/>
      <c r="I1433" s="331"/>
      <c r="J1433" s="316"/>
      <c r="K1433" s="331"/>
      <c r="L1433" s="316"/>
      <c r="M1433" s="7"/>
      <c r="N1433" s="206"/>
    </row>
    <row r="1434" spans="1:14" s="6" customFormat="1" ht="15" customHeight="1" x14ac:dyDescent="0.25">
      <c r="A1434" s="32"/>
      <c r="B1434" s="306"/>
      <c r="C1434" s="383" t="s">
        <v>168</v>
      </c>
      <c r="D1434" s="384"/>
      <c r="E1434" s="331"/>
      <c r="F1434" s="316"/>
      <c r="G1434" s="331"/>
      <c r="H1434" s="316"/>
      <c r="I1434" s="331"/>
      <c r="J1434" s="316"/>
      <c r="K1434" s="331"/>
      <c r="L1434" s="316"/>
      <c r="M1434" s="7"/>
      <c r="N1434" s="206"/>
    </row>
    <row r="1435" spans="1:14" s="6" customFormat="1" ht="15" customHeight="1" x14ac:dyDescent="0.25">
      <c r="A1435" s="32"/>
      <c r="B1435" s="306"/>
      <c r="C1435" s="317"/>
      <c r="D1435" s="316"/>
      <c r="E1435" s="331"/>
      <c r="F1435" s="316"/>
      <c r="G1435" s="331"/>
      <c r="H1435" s="316"/>
      <c r="I1435" s="331"/>
      <c r="J1435" s="316"/>
      <c r="K1435" s="331"/>
      <c r="L1435" s="316"/>
      <c r="M1435" s="7"/>
      <c r="N1435" s="206"/>
    </row>
    <row r="1436" spans="1:14" s="6" customFormat="1" ht="15" customHeight="1" x14ac:dyDescent="0.25">
      <c r="A1436" s="32"/>
      <c r="B1436" s="306"/>
      <c r="C1436" s="317"/>
      <c r="D1436" s="316"/>
      <c r="E1436" s="331"/>
      <c r="F1436" s="316"/>
      <c r="G1436" s="331"/>
      <c r="H1436" s="316"/>
      <c r="I1436" s="331"/>
      <c r="J1436" s="316"/>
      <c r="K1436" s="331"/>
      <c r="L1436" s="316"/>
      <c r="M1436" s="7"/>
      <c r="N1436" s="206"/>
    </row>
    <row r="1437" spans="1:14" s="6" customFormat="1" ht="15" customHeight="1" x14ac:dyDescent="0.25">
      <c r="A1437" s="32"/>
      <c r="B1437" s="307"/>
      <c r="C1437" s="318"/>
      <c r="D1437" s="319"/>
      <c r="E1437" s="380"/>
      <c r="F1437" s="319"/>
      <c r="G1437" s="381"/>
      <c r="H1437" s="382"/>
      <c r="I1437" s="380"/>
      <c r="J1437" s="319"/>
      <c r="K1437" s="331"/>
      <c r="L1437" s="316"/>
      <c r="M1437" s="7"/>
      <c r="N1437" s="206"/>
    </row>
    <row r="1438" spans="1:14" s="6" customFormat="1" ht="15" customHeight="1" x14ac:dyDescent="0.25">
      <c r="A1438" s="32"/>
      <c r="B1438" s="308"/>
      <c r="C1438" s="210">
        <f>K1431+3</f>
        <v>43136</v>
      </c>
      <c r="D1438" s="222"/>
      <c r="E1438" s="213">
        <f>C1438+1</f>
        <v>43137</v>
      </c>
      <c r="F1438" s="222"/>
      <c r="G1438" s="213">
        <f>E1438+1</f>
        <v>43138</v>
      </c>
      <c r="H1438" s="222"/>
      <c r="I1438" s="213">
        <f>G1438+1</f>
        <v>43139</v>
      </c>
      <c r="J1438" s="222"/>
      <c r="K1438" s="213">
        <f>I1438+1</f>
        <v>43140</v>
      </c>
      <c r="L1438" s="222"/>
      <c r="M1438" s="7"/>
      <c r="N1438" s="206"/>
    </row>
    <row r="1439" spans="1:14" s="6" customFormat="1" ht="15" customHeight="1" x14ac:dyDescent="0.25">
      <c r="A1439" s="32"/>
      <c r="B1439" s="308"/>
      <c r="C1439" s="317"/>
      <c r="D1439" s="316"/>
      <c r="E1439" s="331"/>
      <c r="F1439" s="316"/>
      <c r="G1439" s="331"/>
      <c r="H1439" s="316"/>
      <c r="I1439" s="331"/>
      <c r="J1439" s="316"/>
      <c r="K1439" s="331"/>
      <c r="L1439" s="316"/>
      <c r="M1439" s="7"/>
      <c r="N1439" s="206"/>
    </row>
    <row r="1440" spans="1:14" s="6" customFormat="1" ht="15" customHeight="1" x14ac:dyDescent="0.25">
      <c r="A1440" s="32"/>
      <c r="B1440" s="308"/>
      <c r="C1440" s="317"/>
      <c r="D1440" s="316"/>
      <c r="E1440" s="331"/>
      <c r="F1440" s="316"/>
      <c r="G1440" s="331"/>
      <c r="H1440" s="316"/>
      <c r="I1440" s="331"/>
      <c r="J1440" s="316"/>
      <c r="K1440" s="331"/>
      <c r="L1440" s="316"/>
      <c r="M1440" s="7"/>
      <c r="N1440" s="206"/>
    </row>
    <row r="1441" spans="1:14" s="6" customFormat="1" ht="15" customHeight="1" x14ac:dyDescent="0.25">
      <c r="A1441" s="32"/>
      <c r="B1441" s="308"/>
      <c r="C1441" s="383"/>
      <c r="D1441" s="384"/>
      <c r="E1441" s="331"/>
      <c r="F1441" s="316"/>
      <c r="G1441" s="331"/>
      <c r="H1441" s="316"/>
      <c r="I1441" s="331"/>
      <c r="J1441" s="316"/>
      <c r="K1441" s="331"/>
      <c r="L1441" s="316"/>
      <c r="M1441" s="7"/>
      <c r="N1441" s="206"/>
    </row>
    <row r="1442" spans="1:14" s="6" customFormat="1" ht="15" customHeight="1" x14ac:dyDescent="0.25">
      <c r="A1442" s="32"/>
      <c r="B1442" s="308"/>
      <c r="C1442" s="317"/>
      <c r="D1442" s="316"/>
      <c r="E1442" s="331"/>
      <c r="F1442" s="316"/>
      <c r="G1442" s="331"/>
      <c r="H1442" s="316"/>
      <c r="I1442" s="331"/>
      <c r="J1442" s="316"/>
      <c r="K1442" s="331"/>
      <c r="L1442" s="316"/>
      <c r="M1442" s="7"/>
      <c r="N1442" s="206"/>
    </row>
    <row r="1443" spans="1:14" s="6" customFormat="1" ht="15" customHeight="1" x14ac:dyDescent="0.25">
      <c r="A1443" s="32"/>
      <c r="B1443" s="308"/>
      <c r="C1443" s="317"/>
      <c r="D1443" s="316"/>
      <c r="E1443" s="331"/>
      <c r="F1443" s="316"/>
      <c r="G1443" s="331"/>
      <c r="H1443" s="316"/>
      <c r="I1443" s="331"/>
      <c r="J1443" s="316"/>
      <c r="K1443" s="331"/>
      <c r="L1443" s="316"/>
      <c r="M1443" s="7"/>
      <c r="N1443" s="206"/>
    </row>
    <row r="1444" spans="1:14" s="6" customFormat="1" ht="15" customHeight="1" x14ac:dyDescent="0.25">
      <c r="A1444" s="32"/>
      <c r="B1444" s="308"/>
      <c r="C1444" s="318"/>
      <c r="D1444" s="319"/>
      <c r="E1444" s="380"/>
      <c r="F1444" s="319"/>
      <c r="G1444" s="381"/>
      <c r="H1444" s="382"/>
      <c r="I1444" s="380"/>
      <c r="J1444" s="319"/>
      <c r="K1444" s="331"/>
      <c r="L1444" s="316"/>
      <c r="M1444" s="7"/>
      <c r="N1444" s="206"/>
    </row>
    <row r="1445" spans="1:14" s="6" customFormat="1" ht="15" customHeight="1" x14ac:dyDescent="0.25">
      <c r="A1445" s="32"/>
      <c r="B1445" s="308"/>
      <c r="C1445" s="210">
        <f>K1438+3</f>
        <v>43143</v>
      </c>
      <c r="D1445" s="225"/>
      <c r="E1445" s="213">
        <f>C1445+1</f>
        <v>43144</v>
      </c>
      <c r="F1445" s="222"/>
      <c r="G1445" s="213">
        <f>E1445+1</f>
        <v>43145</v>
      </c>
      <c r="H1445" s="222"/>
      <c r="I1445" s="213">
        <f>G1445+1</f>
        <v>43146</v>
      </c>
      <c r="J1445" s="222"/>
      <c r="K1445" s="213">
        <f>I1445+1</f>
        <v>43147</v>
      </c>
      <c r="L1445" s="222"/>
      <c r="M1445" s="7"/>
      <c r="N1445" s="206"/>
    </row>
    <row r="1446" spans="1:14" s="6" customFormat="1" ht="15" customHeight="1" x14ac:dyDescent="0.25">
      <c r="A1446" s="32"/>
      <c r="B1446" s="308"/>
      <c r="C1446" s="331"/>
      <c r="D1446" s="316"/>
      <c r="E1446" s="331"/>
      <c r="F1446" s="316"/>
      <c r="G1446" s="331"/>
      <c r="H1446" s="316"/>
      <c r="I1446" s="331"/>
      <c r="J1446" s="316"/>
      <c r="K1446" s="331"/>
      <c r="L1446" s="316"/>
      <c r="M1446" s="7"/>
      <c r="N1446" s="206"/>
    </row>
    <row r="1447" spans="1:14" s="6" customFormat="1" ht="15" customHeight="1" x14ac:dyDescent="0.25">
      <c r="A1447" s="32"/>
      <c r="B1447" s="308"/>
      <c r="C1447" s="331"/>
      <c r="D1447" s="316"/>
      <c r="E1447" s="331"/>
      <c r="F1447" s="316"/>
      <c r="G1447" s="331"/>
      <c r="H1447" s="316"/>
      <c r="I1447" s="331"/>
      <c r="J1447" s="316"/>
      <c r="K1447" s="331"/>
      <c r="L1447" s="316"/>
      <c r="M1447" s="7"/>
      <c r="N1447" s="206"/>
    </row>
    <row r="1448" spans="1:14" s="6" customFormat="1" ht="15" customHeight="1" x14ac:dyDescent="0.25">
      <c r="A1448" s="32"/>
      <c r="B1448" s="308"/>
      <c r="C1448" s="383"/>
      <c r="D1448" s="384"/>
      <c r="E1448" s="331"/>
      <c r="F1448" s="316"/>
      <c r="G1448" s="331"/>
      <c r="H1448" s="316"/>
      <c r="I1448" s="331"/>
      <c r="J1448" s="316"/>
      <c r="K1448" s="331"/>
      <c r="L1448" s="316"/>
      <c r="M1448" s="7"/>
      <c r="N1448" s="206"/>
    </row>
    <row r="1449" spans="1:14" s="6" customFormat="1" ht="15" customHeight="1" x14ac:dyDescent="0.25">
      <c r="A1449" s="32"/>
      <c r="B1449" s="308"/>
      <c r="C1449" s="317"/>
      <c r="D1449" s="316"/>
      <c r="E1449" s="331"/>
      <c r="F1449" s="316"/>
      <c r="G1449" s="331"/>
      <c r="H1449" s="316"/>
      <c r="I1449" s="331"/>
      <c r="J1449" s="316"/>
      <c r="K1449" s="331"/>
      <c r="L1449" s="316"/>
      <c r="M1449" s="7"/>
      <c r="N1449" s="206"/>
    </row>
    <row r="1450" spans="1:14" s="6" customFormat="1" ht="15" customHeight="1" x14ac:dyDescent="0.25">
      <c r="A1450" s="32"/>
      <c r="B1450" s="308"/>
      <c r="C1450" s="317"/>
      <c r="D1450" s="316"/>
      <c r="E1450" s="331"/>
      <c r="F1450" s="316"/>
      <c r="G1450" s="331"/>
      <c r="H1450" s="316"/>
      <c r="I1450" s="331"/>
      <c r="J1450" s="316"/>
      <c r="K1450" s="331"/>
      <c r="L1450" s="316"/>
      <c r="M1450" s="7"/>
      <c r="N1450" s="206"/>
    </row>
    <row r="1451" spans="1:14" s="6" customFormat="1" ht="15" customHeight="1" x14ac:dyDescent="0.25">
      <c r="A1451" s="32"/>
      <c r="B1451" s="308"/>
      <c r="C1451" s="318"/>
      <c r="D1451" s="319"/>
      <c r="E1451" s="380"/>
      <c r="F1451" s="319"/>
      <c r="G1451" s="381"/>
      <c r="H1451" s="382"/>
      <c r="I1451" s="380"/>
      <c r="J1451" s="319"/>
      <c r="K1451" s="331"/>
      <c r="L1451" s="316"/>
      <c r="M1451" s="7"/>
      <c r="N1451" s="206"/>
    </row>
    <row r="1452" spans="1:14" s="6" customFormat="1" ht="15" customHeight="1" x14ac:dyDescent="0.25">
      <c r="A1452" s="32"/>
      <c r="B1452" s="308">
        <v>43132</v>
      </c>
      <c r="C1452" s="210">
        <f>K1445+3</f>
        <v>43150</v>
      </c>
      <c r="D1452" s="222"/>
      <c r="E1452" s="213">
        <f>C1452+1</f>
        <v>43151</v>
      </c>
      <c r="F1452" s="222"/>
      <c r="G1452" s="213">
        <f>E1452+1</f>
        <v>43152</v>
      </c>
      <c r="H1452" s="222"/>
      <c r="I1452" s="213">
        <f>G1452+1</f>
        <v>43153</v>
      </c>
      <c r="J1452" s="222"/>
      <c r="K1452" s="213">
        <f>I1452+1</f>
        <v>43154</v>
      </c>
      <c r="L1452" s="222"/>
      <c r="M1452" s="7"/>
      <c r="N1452" s="206"/>
    </row>
    <row r="1453" spans="1:14" s="6" customFormat="1" ht="15" customHeight="1" x14ac:dyDescent="0.25">
      <c r="A1453" s="32"/>
      <c r="B1453" s="308"/>
      <c r="C1453" s="331"/>
      <c r="D1453" s="316"/>
      <c r="E1453" s="331"/>
      <c r="F1453" s="316"/>
      <c r="G1453" s="331"/>
      <c r="H1453" s="316"/>
      <c r="I1453" s="331"/>
      <c r="J1453" s="316"/>
      <c r="K1453" s="331"/>
      <c r="L1453" s="316"/>
      <c r="M1453" s="7"/>
      <c r="N1453" s="206"/>
    </row>
    <row r="1454" spans="1:14" s="6" customFormat="1" ht="15" customHeight="1" x14ac:dyDescent="0.25">
      <c r="A1454" s="32"/>
      <c r="B1454" s="308"/>
      <c r="C1454" s="331"/>
      <c r="D1454" s="316"/>
      <c r="E1454" s="331"/>
      <c r="F1454" s="316"/>
      <c r="G1454" s="331"/>
      <c r="H1454" s="316"/>
      <c r="I1454" s="331"/>
      <c r="J1454" s="316"/>
      <c r="K1454" s="331"/>
      <c r="L1454" s="316"/>
      <c r="M1454" s="7"/>
      <c r="N1454" s="206"/>
    </row>
    <row r="1455" spans="1:14" s="6" customFormat="1" ht="15" customHeight="1" x14ac:dyDescent="0.25">
      <c r="A1455" s="32"/>
      <c r="B1455" s="308"/>
      <c r="C1455" s="383"/>
      <c r="D1455" s="384"/>
      <c r="E1455" s="331"/>
      <c r="F1455" s="316"/>
      <c r="G1455" s="331"/>
      <c r="H1455" s="316"/>
      <c r="I1455" s="331"/>
      <c r="J1455" s="316"/>
      <c r="K1455" s="331"/>
      <c r="L1455" s="316"/>
      <c r="M1455" s="7"/>
      <c r="N1455" s="206"/>
    </row>
    <row r="1456" spans="1:14" s="6" customFormat="1" ht="15" customHeight="1" x14ac:dyDescent="0.25">
      <c r="A1456" s="32"/>
      <c r="B1456" s="308"/>
      <c r="C1456" s="317"/>
      <c r="D1456" s="316"/>
      <c r="E1456" s="331"/>
      <c r="F1456" s="316"/>
      <c r="G1456" s="331"/>
      <c r="H1456" s="316"/>
      <c r="I1456" s="331"/>
      <c r="J1456" s="316"/>
      <c r="K1456" s="331"/>
      <c r="L1456" s="316"/>
      <c r="M1456" s="7"/>
      <c r="N1456" s="206"/>
    </row>
    <row r="1457" spans="1:14" s="6" customFormat="1" ht="15" customHeight="1" x14ac:dyDescent="0.25">
      <c r="A1457" s="32"/>
      <c r="B1457" s="308"/>
      <c r="C1457" s="331"/>
      <c r="D1457" s="316"/>
      <c r="E1457" s="331"/>
      <c r="F1457" s="316"/>
      <c r="G1457" s="331"/>
      <c r="H1457" s="316"/>
      <c r="I1457" s="331"/>
      <c r="J1457" s="316"/>
      <c r="K1457" s="331"/>
      <c r="L1457" s="316"/>
      <c r="M1457" s="7"/>
      <c r="N1457" s="206"/>
    </row>
    <row r="1458" spans="1:14" s="6" customFormat="1" ht="15" customHeight="1" x14ac:dyDescent="0.25">
      <c r="A1458" s="32"/>
      <c r="B1458" s="308"/>
      <c r="C1458" s="318"/>
      <c r="D1458" s="319"/>
      <c r="E1458" s="318"/>
      <c r="F1458" s="319"/>
      <c r="G1458" s="381"/>
      <c r="H1458" s="382"/>
      <c r="I1458" s="380"/>
      <c r="J1458" s="319"/>
      <c r="K1458" s="331"/>
      <c r="L1458" s="316"/>
      <c r="M1458" s="7"/>
      <c r="N1458" s="206"/>
    </row>
    <row r="1459" spans="1:14" s="6" customFormat="1" ht="15" customHeight="1" x14ac:dyDescent="0.25">
      <c r="A1459" s="32"/>
      <c r="B1459" s="308"/>
      <c r="C1459" s="210">
        <f>K1452+3</f>
        <v>43157</v>
      </c>
      <c r="D1459" s="222"/>
      <c r="E1459" s="213">
        <f>C1459+1</f>
        <v>43158</v>
      </c>
      <c r="F1459" s="222"/>
      <c r="G1459" s="213">
        <f>E1459+1</f>
        <v>43159</v>
      </c>
      <c r="H1459" s="222"/>
      <c r="I1459" s="213">
        <f>G1459+1</f>
        <v>43160</v>
      </c>
      <c r="J1459" s="222"/>
      <c r="K1459" s="213">
        <f>I1459+1</f>
        <v>43161</v>
      </c>
      <c r="L1459" s="222"/>
      <c r="M1459" s="7"/>
      <c r="N1459" s="206"/>
    </row>
    <row r="1460" spans="1:14" s="6" customFormat="1" ht="15" customHeight="1" x14ac:dyDescent="0.25">
      <c r="A1460" s="32"/>
      <c r="B1460" s="308"/>
      <c r="C1460" s="317"/>
      <c r="D1460" s="316"/>
      <c r="E1460" s="331"/>
      <c r="F1460" s="316"/>
      <c r="G1460" s="331"/>
      <c r="H1460" s="316"/>
      <c r="I1460" s="331"/>
      <c r="J1460" s="316"/>
      <c r="K1460" s="331"/>
      <c r="L1460" s="316"/>
      <c r="M1460" s="7"/>
      <c r="N1460" s="206"/>
    </row>
    <row r="1461" spans="1:14" s="6" customFormat="1" ht="15" customHeight="1" x14ac:dyDescent="0.25">
      <c r="A1461" s="32"/>
      <c r="B1461" s="308"/>
      <c r="C1461" s="317"/>
      <c r="D1461" s="316"/>
      <c r="E1461" s="331"/>
      <c r="F1461" s="316"/>
      <c r="G1461" s="331"/>
      <c r="H1461" s="316"/>
      <c r="I1461" s="331"/>
      <c r="J1461" s="316"/>
      <c r="K1461" s="331"/>
      <c r="L1461" s="316"/>
      <c r="M1461" s="7"/>
      <c r="N1461" s="206"/>
    </row>
    <row r="1462" spans="1:14" s="6" customFormat="1" ht="15" customHeight="1" x14ac:dyDescent="0.25">
      <c r="A1462" s="32"/>
      <c r="B1462" s="308"/>
      <c r="C1462" s="383"/>
      <c r="D1462" s="384"/>
      <c r="E1462" s="331"/>
      <c r="F1462" s="316"/>
      <c r="G1462" s="331"/>
      <c r="H1462" s="316"/>
      <c r="I1462" s="331"/>
      <c r="J1462" s="316"/>
      <c r="K1462" s="331"/>
      <c r="L1462" s="316"/>
      <c r="M1462" s="7"/>
      <c r="N1462" s="206"/>
    </row>
    <row r="1463" spans="1:14" s="6" customFormat="1" ht="15" customHeight="1" x14ac:dyDescent="0.25">
      <c r="A1463" s="32"/>
      <c r="B1463" s="308"/>
      <c r="C1463" s="317"/>
      <c r="D1463" s="316"/>
      <c r="E1463" s="331"/>
      <c r="F1463" s="316"/>
      <c r="G1463" s="331"/>
      <c r="H1463" s="316"/>
      <c r="I1463" s="331"/>
      <c r="J1463" s="316"/>
      <c r="K1463" s="331"/>
      <c r="L1463" s="316"/>
      <c r="M1463" s="7"/>
      <c r="N1463" s="206"/>
    </row>
    <row r="1464" spans="1:14" s="6" customFormat="1" ht="15" customHeight="1" x14ac:dyDescent="0.25">
      <c r="A1464" s="32"/>
      <c r="B1464" s="308"/>
      <c r="C1464" s="317"/>
      <c r="D1464" s="316"/>
      <c r="E1464" s="331"/>
      <c r="F1464" s="316"/>
      <c r="G1464" s="331"/>
      <c r="H1464" s="316"/>
      <c r="I1464" s="331"/>
      <c r="J1464" s="316"/>
      <c r="K1464" s="331"/>
      <c r="L1464" s="316"/>
      <c r="M1464" s="7"/>
      <c r="N1464" s="206"/>
    </row>
    <row r="1465" spans="1:14" s="6" customFormat="1" ht="15" customHeight="1" x14ac:dyDescent="0.25">
      <c r="A1465" s="32"/>
      <c r="B1465" s="309"/>
      <c r="C1465" s="318"/>
      <c r="D1465" s="319"/>
      <c r="E1465" s="380"/>
      <c r="F1465" s="319"/>
      <c r="G1465" s="381"/>
      <c r="H1465" s="382"/>
      <c r="I1465" s="380"/>
      <c r="J1465" s="319"/>
      <c r="K1465" s="331"/>
      <c r="L1465" s="316"/>
      <c r="M1465" s="7"/>
      <c r="N1465" s="206"/>
    </row>
    <row r="1466" spans="1:14" s="6" customFormat="1" ht="15" customHeight="1" x14ac:dyDescent="0.25">
      <c r="A1466" s="32"/>
      <c r="B1466" s="330"/>
      <c r="C1466" s="210">
        <f>K1459+3</f>
        <v>43164</v>
      </c>
      <c r="D1466" s="222"/>
      <c r="E1466" s="213">
        <f>C1466+1</f>
        <v>43165</v>
      </c>
      <c r="F1466" s="222"/>
      <c r="G1466" s="213">
        <f>E1466+1</f>
        <v>43166</v>
      </c>
      <c r="H1466" s="222"/>
      <c r="I1466" s="213">
        <f>G1466+1</f>
        <v>43167</v>
      </c>
      <c r="J1466" s="222"/>
      <c r="K1466" s="213">
        <f>I1466+1</f>
        <v>43168</v>
      </c>
      <c r="L1466" s="222"/>
      <c r="M1466" s="7"/>
      <c r="N1466" s="206"/>
    </row>
    <row r="1467" spans="1:14" s="6" customFormat="1" ht="15" customHeight="1" x14ac:dyDescent="0.25">
      <c r="A1467" s="32"/>
      <c r="B1467" s="330"/>
      <c r="C1467" s="317"/>
      <c r="D1467" s="316"/>
      <c r="E1467" s="331"/>
      <c r="F1467" s="316"/>
      <c r="G1467" s="331"/>
      <c r="H1467" s="316"/>
      <c r="I1467" s="331"/>
      <c r="J1467" s="316"/>
      <c r="K1467" s="331"/>
      <c r="L1467" s="316"/>
      <c r="M1467" s="7"/>
      <c r="N1467" s="206"/>
    </row>
    <row r="1468" spans="1:14" s="6" customFormat="1" ht="15" customHeight="1" x14ac:dyDescent="0.25">
      <c r="A1468" s="32"/>
      <c r="B1468" s="330"/>
      <c r="C1468" s="317"/>
      <c r="D1468" s="316"/>
      <c r="E1468" s="331"/>
      <c r="F1468" s="316"/>
      <c r="G1468" s="331"/>
      <c r="H1468" s="316"/>
      <c r="I1468" s="331"/>
      <c r="J1468" s="316"/>
      <c r="K1468" s="331"/>
      <c r="L1468" s="316"/>
      <c r="M1468" s="7"/>
      <c r="N1468" s="206"/>
    </row>
    <row r="1469" spans="1:14" s="6" customFormat="1" ht="15" customHeight="1" x14ac:dyDescent="0.25">
      <c r="A1469" s="32"/>
      <c r="B1469" s="330"/>
      <c r="C1469" s="383"/>
      <c r="D1469" s="384"/>
      <c r="E1469" s="331"/>
      <c r="F1469" s="316"/>
      <c r="G1469" s="331"/>
      <c r="H1469" s="316"/>
      <c r="I1469" s="331"/>
      <c r="J1469" s="316"/>
      <c r="K1469" s="331"/>
      <c r="L1469" s="316"/>
      <c r="M1469" s="7"/>
      <c r="N1469" s="206"/>
    </row>
    <row r="1470" spans="1:14" s="6" customFormat="1" ht="15" customHeight="1" x14ac:dyDescent="0.25">
      <c r="A1470" s="32"/>
      <c r="B1470" s="330"/>
      <c r="C1470" s="317"/>
      <c r="D1470" s="316"/>
      <c r="E1470" s="331"/>
      <c r="F1470" s="316"/>
      <c r="G1470" s="331"/>
      <c r="H1470" s="316"/>
      <c r="I1470" s="331"/>
      <c r="J1470" s="316"/>
      <c r="K1470" s="331"/>
      <c r="L1470" s="316"/>
      <c r="M1470" s="7"/>
      <c r="N1470" s="206"/>
    </row>
    <row r="1471" spans="1:14" s="6" customFormat="1" ht="15" customHeight="1" x14ac:dyDescent="0.25">
      <c r="A1471" s="32"/>
      <c r="B1471" s="330"/>
      <c r="C1471" s="317"/>
      <c r="D1471" s="316"/>
      <c r="E1471" s="331"/>
      <c r="F1471" s="316"/>
      <c r="G1471" s="331"/>
      <c r="H1471" s="316"/>
      <c r="I1471" s="331"/>
      <c r="J1471" s="316"/>
      <c r="K1471" s="331"/>
      <c r="L1471" s="316"/>
      <c r="M1471" s="7"/>
      <c r="N1471" s="206"/>
    </row>
    <row r="1472" spans="1:14" s="6" customFormat="1" ht="15" customHeight="1" x14ac:dyDescent="0.25">
      <c r="A1472" s="32"/>
      <c r="B1472" s="330"/>
      <c r="C1472" s="318"/>
      <c r="D1472" s="319"/>
      <c r="E1472" s="380"/>
      <c r="F1472" s="319"/>
      <c r="G1472" s="381"/>
      <c r="H1472" s="382"/>
      <c r="I1472" s="380"/>
      <c r="J1472" s="319"/>
      <c r="K1472" s="331"/>
      <c r="L1472" s="316"/>
      <c r="M1472" s="7"/>
      <c r="N1472" s="206"/>
    </row>
    <row r="1473" spans="1:14" s="6" customFormat="1" ht="15" customHeight="1" x14ac:dyDescent="0.25">
      <c r="A1473" s="32"/>
      <c r="B1473" s="330"/>
      <c r="C1473" s="210">
        <f>K1466+3</f>
        <v>43171</v>
      </c>
      <c r="D1473" s="222"/>
      <c r="E1473" s="213">
        <f>C1473+1</f>
        <v>43172</v>
      </c>
      <c r="F1473" s="222"/>
      <c r="G1473" s="213">
        <f>E1473+1</f>
        <v>43173</v>
      </c>
      <c r="H1473" s="222"/>
      <c r="I1473" s="213">
        <f>G1473+1</f>
        <v>43174</v>
      </c>
      <c r="J1473" s="222"/>
      <c r="K1473" s="213">
        <f>I1473+1</f>
        <v>43175</v>
      </c>
      <c r="L1473" s="225"/>
      <c r="M1473" s="7"/>
      <c r="N1473" s="206"/>
    </row>
    <row r="1474" spans="1:14" s="6" customFormat="1" ht="15" customHeight="1" x14ac:dyDescent="0.25">
      <c r="A1474" s="32"/>
      <c r="B1474" s="330"/>
      <c r="C1474" s="317"/>
      <c r="D1474" s="316"/>
      <c r="E1474" s="331"/>
      <c r="F1474" s="316"/>
      <c r="G1474" s="331"/>
      <c r="H1474" s="316"/>
      <c r="I1474" s="331"/>
      <c r="J1474" s="316"/>
      <c r="K1474" s="331"/>
      <c r="L1474" s="316"/>
      <c r="M1474" s="7"/>
      <c r="N1474" s="206"/>
    </row>
    <row r="1475" spans="1:14" s="6" customFormat="1" ht="15" customHeight="1" x14ac:dyDescent="0.25">
      <c r="A1475" s="32"/>
      <c r="B1475" s="330"/>
      <c r="C1475" s="317"/>
      <c r="D1475" s="316"/>
      <c r="E1475" s="331"/>
      <c r="F1475" s="316"/>
      <c r="G1475" s="331"/>
      <c r="H1475" s="316"/>
      <c r="I1475" s="331"/>
      <c r="J1475" s="316"/>
      <c r="K1475" s="331"/>
      <c r="L1475" s="316"/>
      <c r="M1475" s="7"/>
      <c r="N1475" s="206"/>
    </row>
    <row r="1476" spans="1:14" s="6" customFormat="1" ht="15" customHeight="1" x14ac:dyDescent="0.25">
      <c r="A1476" s="32"/>
      <c r="B1476" s="330"/>
      <c r="C1476" s="383" t="s">
        <v>168</v>
      </c>
      <c r="D1476" s="384"/>
      <c r="E1476" s="331"/>
      <c r="F1476" s="316"/>
      <c r="G1476" s="331"/>
      <c r="H1476" s="316"/>
      <c r="I1476" s="331"/>
      <c r="J1476" s="316"/>
      <c r="K1476" s="331"/>
      <c r="L1476" s="316"/>
      <c r="M1476" s="7"/>
      <c r="N1476" s="206"/>
    </row>
    <row r="1477" spans="1:14" s="6" customFormat="1" ht="15" customHeight="1" x14ac:dyDescent="0.25">
      <c r="A1477" s="32"/>
      <c r="B1477" s="330"/>
      <c r="C1477" s="317"/>
      <c r="D1477" s="316"/>
      <c r="E1477" s="331"/>
      <c r="F1477" s="316"/>
      <c r="G1477" s="331"/>
      <c r="H1477" s="316"/>
      <c r="I1477" s="331"/>
      <c r="J1477" s="316"/>
      <c r="K1477" s="331"/>
      <c r="L1477" s="316"/>
      <c r="M1477" s="7"/>
      <c r="N1477" s="206"/>
    </row>
    <row r="1478" spans="1:14" s="6" customFormat="1" ht="15" customHeight="1" x14ac:dyDescent="0.25">
      <c r="A1478" s="32"/>
      <c r="B1478" s="330"/>
      <c r="C1478" s="317"/>
      <c r="D1478" s="316"/>
      <c r="E1478" s="331"/>
      <c r="F1478" s="316"/>
      <c r="G1478" s="331"/>
      <c r="H1478" s="316"/>
      <c r="I1478" s="331"/>
      <c r="J1478" s="316"/>
      <c r="K1478" s="331"/>
      <c r="L1478" s="316"/>
      <c r="M1478" s="7"/>
      <c r="N1478" s="206"/>
    </row>
    <row r="1479" spans="1:14" s="6" customFormat="1" ht="15" customHeight="1" x14ac:dyDescent="0.25">
      <c r="A1479" s="32"/>
      <c r="B1479" s="330"/>
      <c r="C1479" s="318"/>
      <c r="D1479" s="319"/>
      <c r="E1479" s="380"/>
      <c r="F1479" s="319"/>
      <c r="G1479" s="381"/>
      <c r="H1479" s="382"/>
      <c r="I1479" s="380"/>
      <c r="J1479" s="319"/>
      <c r="K1479" s="331"/>
      <c r="L1479" s="316"/>
      <c r="M1479" s="7"/>
      <c r="N1479" s="206"/>
    </row>
    <row r="1480" spans="1:14" s="6" customFormat="1" ht="15" customHeight="1" x14ac:dyDescent="0.25">
      <c r="A1480" s="32"/>
      <c r="B1480" s="306"/>
      <c r="C1480" s="210">
        <f>K1473+3</f>
        <v>43178</v>
      </c>
      <c r="D1480" s="222"/>
      <c r="E1480" s="213">
        <f>C1480+1</f>
        <v>43179</v>
      </c>
      <c r="F1480" s="222"/>
      <c r="G1480" s="213">
        <f>E1480+1</f>
        <v>43180</v>
      </c>
      <c r="H1480" s="222"/>
      <c r="I1480" s="213">
        <f>G1480+1</f>
        <v>43181</v>
      </c>
      <c r="J1480" s="222"/>
      <c r="K1480" s="213">
        <f>I1480+1</f>
        <v>43182</v>
      </c>
      <c r="L1480" s="225"/>
      <c r="M1480" s="7"/>
      <c r="N1480" s="206"/>
    </row>
    <row r="1481" spans="1:14" s="6" customFormat="1" ht="15" customHeight="1" x14ac:dyDescent="0.25">
      <c r="A1481" s="32"/>
      <c r="B1481" s="306"/>
      <c r="C1481" s="317"/>
      <c r="D1481" s="316"/>
      <c r="E1481" s="331"/>
      <c r="F1481" s="316"/>
      <c r="G1481" s="331"/>
      <c r="H1481" s="316"/>
      <c r="I1481" s="331"/>
      <c r="J1481" s="316"/>
      <c r="K1481" s="331"/>
      <c r="L1481" s="316"/>
      <c r="M1481" s="7"/>
      <c r="N1481" s="206"/>
    </row>
    <row r="1482" spans="1:14" s="6" customFormat="1" ht="15" customHeight="1" x14ac:dyDescent="0.25">
      <c r="A1482" s="32"/>
      <c r="B1482" s="306"/>
      <c r="C1482" s="317"/>
      <c r="D1482" s="316"/>
      <c r="E1482" s="331"/>
      <c r="F1482" s="316"/>
      <c r="G1482" s="331"/>
      <c r="H1482" s="316"/>
      <c r="I1482" s="331"/>
      <c r="J1482" s="316"/>
      <c r="K1482" s="331"/>
      <c r="L1482" s="316"/>
      <c r="M1482" s="7"/>
      <c r="N1482" s="206"/>
    </row>
    <row r="1483" spans="1:14" s="6" customFormat="1" ht="15" customHeight="1" x14ac:dyDescent="0.25">
      <c r="A1483" s="32"/>
      <c r="B1483" s="306"/>
      <c r="C1483" s="383"/>
      <c r="D1483" s="384"/>
      <c r="E1483" s="331"/>
      <c r="F1483" s="316"/>
      <c r="G1483" s="331"/>
      <c r="H1483" s="316"/>
      <c r="I1483" s="331"/>
      <c r="J1483" s="316"/>
      <c r="K1483" s="331"/>
      <c r="L1483" s="316"/>
      <c r="M1483" s="7"/>
      <c r="N1483" s="206"/>
    </row>
    <row r="1484" spans="1:14" s="6" customFormat="1" ht="15" customHeight="1" x14ac:dyDescent="0.25">
      <c r="A1484" s="32"/>
      <c r="B1484" s="306"/>
      <c r="C1484" s="317"/>
      <c r="D1484" s="316"/>
      <c r="E1484" s="331"/>
      <c r="F1484" s="316"/>
      <c r="G1484" s="331"/>
      <c r="H1484" s="316"/>
      <c r="I1484" s="331"/>
      <c r="J1484" s="316"/>
      <c r="K1484" s="331"/>
      <c r="L1484" s="316"/>
      <c r="M1484" s="7"/>
      <c r="N1484" s="206"/>
    </row>
    <row r="1485" spans="1:14" s="6" customFormat="1" ht="15" customHeight="1" x14ac:dyDescent="0.25">
      <c r="A1485" s="32"/>
      <c r="B1485" s="306"/>
      <c r="C1485" s="317"/>
      <c r="D1485" s="316"/>
      <c r="E1485" s="331"/>
      <c r="F1485" s="316"/>
      <c r="G1485" s="331"/>
      <c r="H1485" s="316"/>
      <c r="I1485" s="331"/>
      <c r="J1485" s="316"/>
      <c r="K1485" s="331"/>
      <c r="L1485" s="316"/>
      <c r="M1485" s="7"/>
      <c r="N1485" s="206"/>
    </row>
    <row r="1486" spans="1:14" s="6" customFormat="1" ht="15" customHeight="1" x14ac:dyDescent="0.25">
      <c r="A1486" s="32"/>
      <c r="B1486" s="307"/>
      <c r="C1486" s="318"/>
      <c r="D1486" s="319"/>
      <c r="E1486" s="380"/>
      <c r="F1486" s="319"/>
      <c r="G1486" s="381"/>
      <c r="H1486" s="382"/>
      <c r="I1486" s="380"/>
      <c r="J1486" s="319"/>
      <c r="K1486" s="331"/>
      <c r="L1486" s="316"/>
      <c r="M1486" s="7"/>
      <c r="N1486" s="206"/>
    </row>
    <row r="1487" spans="1:14" s="6" customFormat="1" ht="15" customHeight="1" x14ac:dyDescent="0.25">
      <c r="A1487" s="32"/>
      <c r="B1487" s="306">
        <v>43160</v>
      </c>
      <c r="C1487" s="210">
        <f>K1480+3</f>
        <v>43185</v>
      </c>
      <c r="D1487" s="226"/>
      <c r="E1487" s="213">
        <f>C1487+1</f>
        <v>43186</v>
      </c>
      <c r="F1487" s="226"/>
      <c r="G1487" s="213">
        <f>E1487+1</f>
        <v>43187</v>
      </c>
      <c r="H1487" s="222"/>
      <c r="I1487" s="213">
        <f>G1487+1</f>
        <v>43188</v>
      </c>
      <c r="J1487" s="226"/>
      <c r="K1487" s="213">
        <f>I1487+1</f>
        <v>43189</v>
      </c>
      <c r="L1487" s="222"/>
      <c r="M1487" s="7"/>
      <c r="N1487" s="206"/>
    </row>
    <row r="1488" spans="1:14" s="6" customFormat="1" ht="15" customHeight="1" x14ac:dyDescent="0.25">
      <c r="A1488" s="32"/>
      <c r="B1488" s="306"/>
      <c r="C1488" s="317"/>
      <c r="D1488" s="316"/>
      <c r="E1488" s="331"/>
      <c r="F1488" s="316"/>
      <c r="G1488" s="331"/>
      <c r="H1488" s="316"/>
      <c r="I1488" s="331"/>
      <c r="J1488" s="316"/>
      <c r="K1488" s="331"/>
      <c r="L1488" s="316"/>
      <c r="M1488" s="7"/>
      <c r="N1488" s="206"/>
    </row>
    <row r="1489" spans="1:14" s="6" customFormat="1" ht="15" customHeight="1" x14ac:dyDescent="0.25">
      <c r="A1489" s="32"/>
      <c r="B1489" s="306"/>
      <c r="C1489" s="317"/>
      <c r="D1489" s="316"/>
      <c r="E1489" s="331"/>
      <c r="F1489" s="316"/>
      <c r="G1489" s="331"/>
      <c r="H1489" s="316"/>
      <c r="I1489" s="331"/>
      <c r="J1489" s="316"/>
      <c r="K1489" s="331"/>
      <c r="L1489" s="316"/>
      <c r="M1489" s="7"/>
      <c r="N1489" s="206"/>
    </row>
    <row r="1490" spans="1:14" s="6" customFormat="1" ht="15" customHeight="1" x14ac:dyDescent="0.25">
      <c r="A1490" s="32"/>
      <c r="B1490" s="306"/>
      <c r="C1490" s="383"/>
      <c r="D1490" s="384"/>
      <c r="E1490" s="331"/>
      <c r="F1490" s="316"/>
      <c r="G1490" s="331"/>
      <c r="H1490" s="316"/>
      <c r="I1490" s="331"/>
      <c r="J1490" s="316"/>
      <c r="K1490" s="331"/>
      <c r="L1490" s="316"/>
      <c r="M1490" s="7"/>
      <c r="N1490" s="206"/>
    </row>
    <row r="1491" spans="1:14" s="6" customFormat="1" ht="15" customHeight="1" x14ac:dyDescent="0.25">
      <c r="A1491" s="32"/>
      <c r="B1491" s="306"/>
      <c r="C1491" s="317"/>
      <c r="D1491" s="316"/>
      <c r="E1491" s="331"/>
      <c r="F1491" s="316"/>
      <c r="G1491" s="331"/>
      <c r="H1491" s="316"/>
      <c r="I1491" s="331"/>
      <c r="J1491" s="316"/>
      <c r="K1491" s="331"/>
      <c r="L1491" s="316"/>
      <c r="M1491" s="7"/>
      <c r="N1491" s="206"/>
    </row>
    <row r="1492" spans="1:14" s="6" customFormat="1" ht="15" customHeight="1" x14ac:dyDescent="0.25">
      <c r="A1492" s="32"/>
      <c r="B1492" s="306"/>
      <c r="C1492" s="317"/>
      <c r="D1492" s="316"/>
      <c r="E1492" s="331"/>
      <c r="F1492" s="316"/>
      <c r="G1492" s="331"/>
      <c r="H1492" s="316"/>
      <c r="I1492" s="331"/>
      <c r="J1492" s="316"/>
      <c r="K1492" s="331"/>
      <c r="L1492" s="316"/>
      <c r="M1492" s="7"/>
      <c r="N1492" s="206"/>
    </row>
    <row r="1493" spans="1:14" s="6" customFormat="1" ht="15" customHeight="1" x14ac:dyDescent="0.25">
      <c r="A1493" s="32"/>
      <c r="B1493" s="307"/>
      <c r="C1493" s="318"/>
      <c r="D1493" s="319"/>
      <c r="E1493" s="380"/>
      <c r="F1493" s="319"/>
      <c r="G1493" s="381"/>
      <c r="H1493" s="382"/>
      <c r="I1493" s="380"/>
      <c r="J1493" s="319"/>
      <c r="K1493" s="331"/>
      <c r="L1493" s="316"/>
      <c r="M1493" s="7"/>
      <c r="N1493" s="206"/>
    </row>
    <row r="1494" spans="1:14" s="6" customFormat="1" ht="15" customHeight="1" x14ac:dyDescent="0.25">
      <c r="A1494" s="32"/>
      <c r="B1494" s="308"/>
      <c r="C1494" s="210">
        <f>K1487+3</f>
        <v>43192</v>
      </c>
      <c r="D1494" s="222"/>
      <c r="E1494" s="213">
        <f>C1494+1</f>
        <v>43193</v>
      </c>
      <c r="F1494" s="222"/>
      <c r="G1494" s="213">
        <f>E1494+1</f>
        <v>43194</v>
      </c>
      <c r="H1494" s="226"/>
      <c r="I1494" s="213">
        <f>G1494+1</f>
        <v>43195</v>
      </c>
      <c r="J1494" s="222"/>
      <c r="K1494" s="213">
        <f>I1494+1</f>
        <v>43196</v>
      </c>
      <c r="L1494" s="222"/>
      <c r="M1494" s="7"/>
      <c r="N1494" s="206"/>
    </row>
    <row r="1495" spans="1:14" s="6" customFormat="1" ht="15" customHeight="1" x14ac:dyDescent="0.25">
      <c r="A1495" s="32"/>
      <c r="B1495" s="308"/>
      <c r="C1495" s="317"/>
      <c r="D1495" s="316"/>
      <c r="E1495" s="331"/>
      <c r="F1495" s="316"/>
      <c r="G1495" s="331"/>
      <c r="H1495" s="316"/>
      <c r="I1495" s="331"/>
      <c r="J1495" s="316"/>
      <c r="K1495" s="331"/>
      <c r="L1495" s="316"/>
      <c r="M1495" s="7"/>
      <c r="N1495" s="206"/>
    </row>
    <row r="1496" spans="1:14" s="6" customFormat="1" ht="15" customHeight="1" x14ac:dyDescent="0.25">
      <c r="A1496" s="32"/>
      <c r="B1496" s="308"/>
      <c r="C1496" s="317"/>
      <c r="D1496" s="316"/>
      <c r="E1496" s="331"/>
      <c r="F1496" s="316"/>
      <c r="G1496" s="331"/>
      <c r="H1496" s="316"/>
      <c r="I1496" s="331"/>
      <c r="J1496" s="316"/>
      <c r="K1496" s="331"/>
      <c r="L1496" s="316"/>
      <c r="M1496" s="7"/>
      <c r="N1496" s="206"/>
    </row>
    <row r="1497" spans="1:14" s="6" customFormat="1" ht="15" customHeight="1" x14ac:dyDescent="0.25">
      <c r="A1497" s="32"/>
      <c r="B1497" s="308"/>
      <c r="C1497" s="383"/>
      <c r="D1497" s="384"/>
      <c r="E1497" s="331"/>
      <c r="F1497" s="316"/>
      <c r="G1497" s="331"/>
      <c r="H1497" s="316"/>
      <c r="I1497" s="331"/>
      <c r="J1497" s="316"/>
      <c r="K1497" s="331"/>
      <c r="L1497" s="316"/>
      <c r="M1497" s="7"/>
      <c r="N1497" s="206"/>
    </row>
    <row r="1498" spans="1:14" s="6" customFormat="1" ht="15" customHeight="1" x14ac:dyDescent="0.25">
      <c r="A1498" s="32"/>
      <c r="B1498" s="308"/>
      <c r="C1498" s="317"/>
      <c r="D1498" s="316"/>
      <c r="E1498" s="331"/>
      <c r="F1498" s="316"/>
      <c r="G1498" s="331"/>
      <c r="H1498" s="316"/>
      <c r="I1498" s="331"/>
      <c r="J1498" s="316"/>
      <c r="K1498" s="331"/>
      <c r="L1498" s="316"/>
      <c r="M1498" s="7"/>
      <c r="N1498" s="206"/>
    </row>
    <row r="1499" spans="1:14" s="6" customFormat="1" ht="15" customHeight="1" x14ac:dyDescent="0.25">
      <c r="A1499" s="32"/>
      <c r="B1499" s="308"/>
      <c r="C1499" s="317"/>
      <c r="D1499" s="316"/>
      <c r="E1499" s="331"/>
      <c r="F1499" s="316"/>
      <c r="G1499" s="331"/>
      <c r="H1499" s="316"/>
      <c r="I1499" s="331"/>
      <c r="J1499" s="316"/>
      <c r="K1499" s="331"/>
      <c r="L1499" s="316"/>
      <c r="M1499" s="7"/>
      <c r="N1499" s="206"/>
    </row>
    <row r="1500" spans="1:14" s="6" customFormat="1" ht="15" customHeight="1" x14ac:dyDescent="0.25">
      <c r="A1500" s="32"/>
      <c r="B1500" s="308"/>
      <c r="C1500" s="318"/>
      <c r="D1500" s="319"/>
      <c r="E1500" s="380"/>
      <c r="F1500" s="319"/>
      <c r="G1500" s="381"/>
      <c r="H1500" s="382"/>
      <c r="I1500" s="380"/>
      <c r="J1500" s="319"/>
      <c r="K1500" s="331"/>
      <c r="L1500" s="316"/>
      <c r="M1500" s="7"/>
      <c r="N1500" s="206"/>
    </row>
    <row r="1501" spans="1:14" s="6" customFormat="1" ht="15" customHeight="1" x14ac:dyDescent="0.25">
      <c r="A1501" s="32"/>
      <c r="B1501" s="308"/>
      <c r="C1501" s="210">
        <f>K1494+3</f>
        <v>43199</v>
      </c>
      <c r="D1501" s="222"/>
      <c r="E1501" s="213">
        <f>C1501+1</f>
        <v>43200</v>
      </c>
      <c r="F1501" s="222"/>
      <c r="G1501" s="213">
        <f>E1501+1</f>
        <v>43201</v>
      </c>
      <c r="H1501" s="222"/>
      <c r="I1501" s="213">
        <f>G1501+1</f>
        <v>43202</v>
      </c>
      <c r="J1501" s="222"/>
      <c r="K1501" s="213">
        <f>I1501+1</f>
        <v>43203</v>
      </c>
      <c r="L1501" s="222"/>
      <c r="M1501" s="7"/>
      <c r="N1501" s="206"/>
    </row>
    <row r="1502" spans="1:14" s="6" customFormat="1" ht="15" customHeight="1" x14ac:dyDescent="0.25">
      <c r="A1502" s="32"/>
      <c r="B1502" s="308"/>
      <c r="C1502" s="317"/>
      <c r="D1502" s="316"/>
      <c r="E1502" s="331"/>
      <c r="F1502" s="316"/>
      <c r="G1502" s="331"/>
      <c r="H1502" s="316"/>
      <c r="I1502" s="331"/>
      <c r="J1502" s="316"/>
      <c r="K1502" s="331"/>
      <c r="L1502" s="316"/>
      <c r="M1502" s="7"/>
      <c r="N1502" s="206"/>
    </row>
    <row r="1503" spans="1:14" s="6" customFormat="1" ht="15" customHeight="1" x14ac:dyDescent="0.25">
      <c r="A1503" s="32"/>
      <c r="B1503" s="308"/>
      <c r="C1503" s="317"/>
      <c r="D1503" s="316"/>
      <c r="E1503" s="331"/>
      <c r="F1503" s="316"/>
      <c r="G1503" s="331"/>
      <c r="H1503" s="316"/>
      <c r="I1503" s="331"/>
      <c r="J1503" s="316"/>
      <c r="K1503" s="331"/>
      <c r="L1503" s="316"/>
      <c r="M1503" s="7"/>
      <c r="N1503" s="206"/>
    </row>
    <row r="1504" spans="1:14" s="6" customFormat="1" ht="15" customHeight="1" x14ac:dyDescent="0.25">
      <c r="A1504" s="32"/>
      <c r="B1504" s="308"/>
      <c r="C1504" s="383" t="s">
        <v>168</v>
      </c>
      <c r="D1504" s="384"/>
      <c r="E1504" s="331"/>
      <c r="F1504" s="379"/>
      <c r="G1504" s="331"/>
      <c r="H1504" s="316"/>
      <c r="I1504" s="331"/>
      <c r="J1504" s="316"/>
      <c r="K1504" s="331"/>
      <c r="L1504" s="316"/>
      <c r="M1504" s="7"/>
      <c r="N1504" s="206"/>
    </row>
    <row r="1505" spans="1:14" s="6" customFormat="1" ht="15" customHeight="1" x14ac:dyDescent="0.25">
      <c r="A1505" s="32"/>
      <c r="B1505" s="308"/>
      <c r="C1505" s="317"/>
      <c r="D1505" s="316"/>
      <c r="E1505" s="331"/>
      <c r="F1505" s="316"/>
      <c r="G1505" s="331"/>
      <c r="H1505" s="316"/>
      <c r="I1505" s="331"/>
      <c r="J1505" s="316"/>
      <c r="K1505" s="331"/>
      <c r="L1505" s="316"/>
      <c r="M1505" s="7"/>
      <c r="N1505" s="206"/>
    </row>
    <row r="1506" spans="1:14" s="6" customFormat="1" ht="15" customHeight="1" x14ac:dyDescent="0.25">
      <c r="A1506" s="32"/>
      <c r="B1506" s="308"/>
      <c r="C1506" s="317"/>
      <c r="D1506" s="316"/>
      <c r="E1506" s="331"/>
      <c r="F1506" s="316"/>
      <c r="G1506" s="331"/>
      <c r="H1506" s="316"/>
      <c r="I1506" s="331"/>
      <c r="J1506" s="316"/>
      <c r="K1506" s="331"/>
      <c r="L1506" s="316"/>
      <c r="M1506" s="7"/>
      <c r="N1506" s="206"/>
    </row>
    <row r="1507" spans="1:14" s="6" customFormat="1" ht="15" customHeight="1" x14ac:dyDescent="0.25">
      <c r="A1507" s="32"/>
      <c r="B1507" s="308"/>
      <c r="C1507" s="318"/>
      <c r="D1507" s="319"/>
      <c r="E1507" s="380"/>
      <c r="F1507" s="319"/>
      <c r="G1507" s="381"/>
      <c r="H1507" s="382"/>
      <c r="I1507" s="380"/>
      <c r="J1507" s="319"/>
      <c r="K1507" s="331"/>
      <c r="L1507" s="316"/>
      <c r="M1507" s="7"/>
      <c r="N1507" s="206"/>
    </row>
    <row r="1508" spans="1:14" s="6" customFormat="1" ht="15" customHeight="1" x14ac:dyDescent="0.25">
      <c r="A1508" s="32"/>
      <c r="B1508" s="308"/>
      <c r="C1508" s="210">
        <f>K1501+3</f>
        <v>43206</v>
      </c>
      <c r="D1508" s="222"/>
      <c r="E1508" s="213">
        <f>C1508+1</f>
        <v>43207</v>
      </c>
      <c r="F1508" s="222"/>
      <c r="G1508" s="213">
        <f>E1508+1</f>
        <v>43208</v>
      </c>
      <c r="H1508" s="226"/>
      <c r="I1508" s="213">
        <f>G1508+1</f>
        <v>43209</v>
      </c>
      <c r="J1508" s="222"/>
      <c r="K1508" s="213">
        <f>I1508+1</f>
        <v>43210</v>
      </c>
      <c r="L1508" s="222"/>
      <c r="M1508" s="7"/>
      <c r="N1508" s="206"/>
    </row>
    <row r="1509" spans="1:14" s="6" customFormat="1" ht="15" customHeight="1" x14ac:dyDescent="0.25">
      <c r="A1509" s="32"/>
      <c r="B1509" s="308"/>
      <c r="C1509" s="317"/>
      <c r="D1509" s="316"/>
      <c r="E1509" s="331"/>
      <c r="F1509" s="316"/>
      <c r="G1509" s="331"/>
      <c r="H1509" s="316"/>
      <c r="I1509" s="331"/>
      <c r="J1509" s="316"/>
      <c r="K1509" s="331"/>
      <c r="L1509" s="316"/>
      <c r="M1509" s="7"/>
      <c r="N1509" s="206"/>
    </row>
    <row r="1510" spans="1:14" s="6" customFormat="1" ht="15" customHeight="1" x14ac:dyDescent="0.25">
      <c r="A1510" s="32"/>
      <c r="B1510" s="308"/>
      <c r="C1510" s="317"/>
      <c r="D1510" s="316"/>
      <c r="E1510" s="331"/>
      <c r="F1510" s="316"/>
      <c r="G1510" s="331"/>
      <c r="H1510" s="316"/>
      <c r="I1510" s="331"/>
      <c r="J1510" s="316"/>
      <c r="K1510" s="331"/>
      <c r="L1510" s="316"/>
      <c r="M1510" s="7"/>
      <c r="N1510" s="206"/>
    </row>
    <row r="1511" spans="1:14" s="6" customFormat="1" ht="15" customHeight="1" x14ac:dyDescent="0.25">
      <c r="A1511" s="32"/>
      <c r="B1511" s="308"/>
      <c r="C1511" s="383"/>
      <c r="D1511" s="384"/>
      <c r="E1511" s="331"/>
      <c r="F1511" s="316"/>
      <c r="G1511" s="331"/>
      <c r="H1511" s="316"/>
      <c r="I1511" s="331"/>
      <c r="J1511" s="316"/>
      <c r="K1511" s="331"/>
      <c r="L1511" s="316"/>
      <c r="M1511" s="7"/>
      <c r="N1511" s="206"/>
    </row>
    <row r="1512" spans="1:14" s="6" customFormat="1" ht="15" customHeight="1" x14ac:dyDescent="0.25">
      <c r="A1512" s="32"/>
      <c r="B1512" s="308"/>
      <c r="C1512" s="317"/>
      <c r="D1512" s="316"/>
      <c r="E1512" s="331"/>
      <c r="F1512" s="316"/>
      <c r="G1512" s="331"/>
      <c r="H1512" s="316"/>
      <c r="I1512" s="331"/>
      <c r="J1512" s="316"/>
      <c r="K1512" s="331"/>
      <c r="L1512" s="316"/>
      <c r="M1512" s="7"/>
      <c r="N1512" s="206"/>
    </row>
    <row r="1513" spans="1:14" s="6" customFormat="1" ht="15" customHeight="1" x14ac:dyDescent="0.25">
      <c r="A1513" s="32"/>
      <c r="B1513" s="308"/>
      <c r="C1513" s="317"/>
      <c r="D1513" s="316"/>
      <c r="E1513" s="331"/>
      <c r="F1513" s="316"/>
      <c r="G1513" s="331"/>
      <c r="H1513" s="316"/>
      <c r="I1513" s="331"/>
      <c r="J1513" s="316"/>
      <c r="K1513" s="331"/>
      <c r="L1513" s="316"/>
      <c r="M1513" s="7"/>
      <c r="N1513" s="206"/>
    </row>
    <row r="1514" spans="1:14" s="6" customFormat="1" ht="15" customHeight="1" x14ac:dyDescent="0.25">
      <c r="A1514" s="32"/>
      <c r="B1514" s="308"/>
      <c r="C1514" s="318"/>
      <c r="D1514" s="319"/>
      <c r="E1514" s="380"/>
      <c r="F1514" s="319"/>
      <c r="G1514" s="381"/>
      <c r="H1514" s="382"/>
      <c r="I1514" s="380"/>
      <c r="J1514" s="319"/>
      <c r="K1514" s="331"/>
      <c r="L1514" s="316"/>
      <c r="M1514" s="7"/>
      <c r="N1514" s="206"/>
    </row>
    <row r="1515" spans="1:14" s="6" customFormat="1" ht="15" customHeight="1" x14ac:dyDescent="0.25">
      <c r="A1515" s="32"/>
      <c r="B1515" s="308">
        <v>43191</v>
      </c>
      <c r="C1515" s="210">
        <f>K1508+3</f>
        <v>43213</v>
      </c>
      <c r="D1515" s="222"/>
      <c r="E1515" s="213">
        <f>C1515+1</f>
        <v>43214</v>
      </c>
      <c r="F1515" s="222"/>
      <c r="G1515" s="213">
        <f>E1515+1</f>
        <v>43215</v>
      </c>
      <c r="H1515" s="226"/>
      <c r="I1515" s="213">
        <f>G1515+1</f>
        <v>43216</v>
      </c>
      <c r="J1515" s="222"/>
      <c r="K1515" s="213">
        <f>I1515+1</f>
        <v>43217</v>
      </c>
      <c r="L1515" s="222"/>
      <c r="M1515" s="7"/>
      <c r="N1515" s="206"/>
    </row>
    <row r="1516" spans="1:14" s="6" customFormat="1" ht="15" customHeight="1" x14ac:dyDescent="0.25">
      <c r="A1516" s="32"/>
      <c r="B1516" s="308"/>
      <c r="C1516" s="317"/>
      <c r="D1516" s="316"/>
      <c r="E1516" s="331"/>
      <c r="F1516" s="316"/>
      <c r="G1516" s="331"/>
      <c r="H1516" s="316"/>
      <c r="I1516" s="331"/>
      <c r="J1516" s="316"/>
      <c r="K1516" s="331"/>
      <c r="L1516" s="316"/>
      <c r="M1516" s="7"/>
      <c r="N1516" s="206"/>
    </row>
    <row r="1517" spans="1:14" s="6" customFormat="1" ht="15" customHeight="1" x14ac:dyDescent="0.25">
      <c r="A1517" s="32"/>
      <c r="B1517" s="308"/>
      <c r="C1517" s="317"/>
      <c r="D1517" s="316"/>
      <c r="E1517" s="331"/>
      <c r="F1517" s="316"/>
      <c r="G1517" s="331"/>
      <c r="H1517" s="316"/>
      <c r="I1517" s="331"/>
      <c r="J1517" s="316"/>
      <c r="K1517" s="331"/>
      <c r="L1517" s="316"/>
      <c r="M1517" s="7"/>
      <c r="N1517" s="206"/>
    </row>
    <row r="1518" spans="1:14" s="6" customFormat="1" ht="15" customHeight="1" x14ac:dyDescent="0.25">
      <c r="A1518" s="32"/>
      <c r="B1518" s="308"/>
      <c r="C1518" s="383"/>
      <c r="D1518" s="384"/>
      <c r="E1518" s="331"/>
      <c r="F1518" s="316"/>
      <c r="G1518" s="331"/>
      <c r="H1518" s="316"/>
      <c r="I1518" s="331"/>
      <c r="J1518" s="316"/>
      <c r="K1518" s="331"/>
      <c r="L1518" s="316"/>
      <c r="M1518" s="7"/>
      <c r="N1518" s="206"/>
    </row>
    <row r="1519" spans="1:14" s="6" customFormat="1" ht="15" customHeight="1" x14ac:dyDescent="0.25">
      <c r="A1519" s="32"/>
      <c r="B1519" s="308"/>
      <c r="C1519" s="317"/>
      <c r="D1519" s="316"/>
      <c r="E1519" s="331"/>
      <c r="F1519" s="316"/>
      <c r="G1519" s="331"/>
      <c r="H1519" s="316"/>
      <c r="I1519" s="331"/>
      <c r="J1519" s="316"/>
      <c r="K1519" s="331"/>
      <c r="L1519" s="316"/>
      <c r="M1519" s="7"/>
      <c r="N1519" s="206"/>
    </row>
    <row r="1520" spans="1:14" s="6" customFormat="1" ht="15" customHeight="1" x14ac:dyDescent="0.25">
      <c r="A1520" s="32"/>
      <c r="B1520" s="308"/>
      <c r="C1520" s="317"/>
      <c r="D1520" s="316"/>
      <c r="E1520" s="331"/>
      <c r="F1520" s="316"/>
      <c r="G1520" s="331"/>
      <c r="H1520" s="316"/>
      <c r="I1520" s="331"/>
      <c r="J1520" s="316"/>
      <c r="K1520" s="331"/>
      <c r="L1520" s="316"/>
      <c r="M1520" s="7"/>
      <c r="N1520" s="206"/>
    </row>
    <row r="1521" spans="1:14" s="6" customFormat="1" ht="15" customHeight="1" x14ac:dyDescent="0.25">
      <c r="A1521" s="32"/>
      <c r="B1521" s="308"/>
      <c r="C1521" s="318"/>
      <c r="D1521" s="319"/>
      <c r="E1521" s="380"/>
      <c r="F1521" s="319"/>
      <c r="G1521" s="381"/>
      <c r="H1521" s="382"/>
      <c r="I1521" s="380"/>
      <c r="J1521" s="319"/>
      <c r="K1521" s="331"/>
      <c r="L1521" s="316"/>
      <c r="M1521" s="7"/>
      <c r="N1521" s="206"/>
    </row>
    <row r="1522" spans="1:14" s="6" customFormat="1" ht="15" customHeight="1" x14ac:dyDescent="0.25">
      <c r="A1522" s="32"/>
      <c r="B1522" s="308"/>
      <c r="C1522" s="210">
        <f>K1515+3</f>
        <v>43220</v>
      </c>
      <c r="D1522" s="222"/>
      <c r="E1522" s="213">
        <f>C1522+1</f>
        <v>43221</v>
      </c>
      <c r="F1522" s="222"/>
      <c r="G1522" s="213">
        <f>E1522+1</f>
        <v>43222</v>
      </c>
      <c r="H1522" s="222"/>
      <c r="I1522" s="213">
        <f>G1522+1</f>
        <v>43223</v>
      </c>
      <c r="J1522" s="222"/>
      <c r="K1522" s="213">
        <f>I1522+1</f>
        <v>43224</v>
      </c>
      <c r="L1522" s="222"/>
      <c r="M1522" s="7"/>
      <c r="N1522" s="206"/>
    </row>
    <row r="1523" spans="1:14" s="6" customFormat="1" ht="15" customHeight="1" x14ac:dyDescent="0.25">
      <c r="A1523" s="32"/>
      <c r="B1523" s="308"/>
      <c r="C1523" s="317"/>
      <c r="D1523" s="316"/>
      <c r="E1523" s="331"/>
      <c r="F1523" s="316"/>
      <c r="G1523" s="331"/>
      <c r="H1523" s="316"/>
      <c r="I1523" s="331"/>
      <c r="J1523" s="316"/>
      <c r="K1523" s="331"/>
      <c r="L1523" s="316"/>
      <c r="M1523" s="7"/>
      <c r="N1523" s="206"/>
    </row>
    <row r="1524" spans="1:14" s="6" customFormat="1" ht="15" customHeight="1" x14ac:dyDescent="0.25">
      <c r="A1524" s="32"/>
      <c r="B1524" s="308"/>
      <c r="C1524" s="317"/>
      <c r="D1524" s="316"/>
      <c r="E1524" s="331"/>
      <c r="F1524" s="316"/>
      <c r="G1524" s="331"/>
      <c r="H1524" s="316"/>
      <c r="I1524" s="331"/>
      <c r="J1524" s="316"/>
      <c r="K1524" s="331"/>
      <c r="L1524" s="316"/>
      <c r="M1524" s="7"/>
      <c r="N1524" s="206"/>
    </row>
    <row r="1525" spans="1:14" s="6" customFormat="1" ht="15" customHeight="1" x14ac:dyDescent="0.25">
      <c r="A1525" s="32"/>
      <c r="B1525" s="308"/>
      <c r="C1525" s="383"/>
      <c r="D1525" s="384"/>
      <c r="E1525" s="331"/>
      <c r="F1525" s="316"/>
      <c r="G1525" s="331"/>
      <c r="H1525" s="316"/>
      <c r="I1525" s="331"/>
      <c r="J1525" s="316"/>
      <c r="K1525" s="331"/>
      <c r="L1525" s="316"/>
      <c r="M1525" s="7"/>
      <c r="N1525" s="206"/>
    </row>
    <row r="1526" spans="1:14" s="6" customFormat="1" ht="15" customHeight="1" x14ac:dyDescent="0.25">
      <c r="A1526" s="32"/>
      <c r="B1526" s="308"/>
      <c r="C1526" s="317"/>
      <c r="D1526" s="316"/>
      <c r="E1526" s="331"/>
      <c r="F1526" s="316"/>
      <c r="G1526" s="331"/>
      <c r="H1526" s="316"/>
      <c r="I1526" s="331"/>
      <c r="J1526" s="316"/>
      <c r="K1526" s="331"/>
      <c r="L1526" s="316"/>
      <c r="M1526" s="7"/>
      <c r="N1526" s="206"/>
    </row>
    <row r="1527" spans="1:14" s="6" customFormat="1" ht="15" customHeight="1" x14ac:dyDescent="0.25">
      <c r="A1527" s="32"/>
      <c r="B1527" s="308"/>
      <c r="C1527" s="317"/>
      <c r="D1527" s="316"/>
      <c r="E1527" s="331"/>
      <c r="F1527" s="316"/>
      <c r="G1527" s="331"/>
      <c r="H1527" s="316"/>
      <c r="I1527" s="331"/>
      <c r="J1527" s="316"/>
      <c r="K1527" s="331"/>
      <c r="L1527" s="316"/>
      <c r="M1527" s="7"/>
      <c r="N1527" s="206"/>
    </row>
    <row r="1528" spans="1:14" s="6" customFormat="1" ht="15" customHeight="1" x14ac:dyDescent="0.25">
      <c r="A1528" s="32"/>
      <c r="B1528" s="309"/>
      <c r="C1528" s="318"/>
      <c r="D1528" s="319"/>
      <c r="E1528" s="380"/>
      <c r="F1528" s="319"/>
      <c r="G1528" s="381"/>
      <c r="H1528" s="382"/>
      <c r="I1528" s="380"/>
      <c r="J1528" s="319"/>
      <c r="K1528" s="331"/>
      <c r="L1528" s="316"/>
      <c r="M1528" s="7"/>
      <c r="N1528" s="206"/>
    </row>
    <row r="1529" spans="1:14" s="6" customFormat="1" ht="15" customHeight="1" x14ac:dyDescent="0.25">
      <c r="A1529" s="32"/>
      <c r="B1529" s="330"/>
      <c r="C1529" s="210">
        <f>K1522+3</f>
        <v>43227</v>
      </c>
      <c r="D1529" s="226"/>
      <c r="E1529" s="213">
        <f>C1529+1</f>
        <v>43228</v>
      </c>
      <c r="F1529" s="222"/>
      <c r="G1529" s="213">
        <f>E1529+1</f>
        <v>43229</v>
      </c>
      <c r="H1529" s="226"/>
      <c r="I1529" s="213">
        <f>G1529+1</f>
        <v>43230</v>
      </c>
      <c r="J1529" s="222"/>
      <c r="K1529" s="213">
        <f>I1529+1</f>
        <v>43231</v>
      </c>
      <c r="L1529" s="222"/>
      <c r="M1529" s="7"/>
      <c r="N1529" s="206"/>
    </row>
    <row r="1530" spans="1:14" s="6" customFormat="1" ht="15" customHeight="1" x14ac:dyDescent="0.25">
      <c r="A1530" s="32"/>
      <c r="B1530" s="330"/>
      <c r="C1530" s="317"/>
      <c r="D1530" s="316"/>
      <c r="E1530" s="331"/>
      <c r="F1530" s="316"/>
      <c r="G1530" s="331"/>
      <c r="H1530" s="316"/>
      <c r="I1530" s="331"/>
      <c r="J1530" s="316"/>
      <c r="K1530" s="331"/>
      <c r="L1530" s="316"/>
      <c r="M1530" s="7"/>
      <c r="N1530" s="206"/>
    </row>
    <row r="1531" spans="1:14" s="6" customFormat="1" ht="15" customHeight="1" x14ac:dyDescent="0.25">
      <c r="A1531" s="32"/>
      <c r="B1531" s="330"/>
      <c r="C1531" s="317"/>
      <c r="D1531" s="316"/>
      <c r="E1531" s="331"/>
      <c r="F1531" s="316"/>
      <c r="G1531" s="331"/>
      <c r="H1531" s="316"/>
      <c r="I1531" s="331"/>
      <c r="J1531" s="316"/>
      <c r="K1531" s="331"/>
      <c r="L1531" s="316"/>
      <c r="M1531" s="7"/>
      <c r="N1531" s="206"/>
    </row>
    <row r="1532" spans="1:14" s="6" customFormat="1" ht="15" customHeight="1" x14ac:dyDescent="0.25">
      <c r="A1532" s="32"/>
      <c r="B1532" s="330"/>
      <c r="C1532" s="383"/>
      <c r="D1532" s="384"/>
      <c r="E1532" s="331"/>
      <c r="F1532" s="316"/>
      <c r="G1532" s="331"/>
      <c r="H1532" s="316"/>
      <c r="I1532" s="331"/>
      <c r="J1532" s="379"/>
      <c r="K1532" s="331"/>
      <c r="L1532" s="316"/>
      <c r="M1532" s="7"/>
      <c r="N1532" s="206"/>
    </row>
    <row r="1533" spans="1:14" s="6" customFormat="1" ht="15" customHeight="1" x14ac:dyDescent="0.25">
      <c r="A1533" s="32"/>
      <c r="B1533" s="330"/>
      <c r="C1533" s="317"/>
      <c r="D1533" s="316"/>
      <c r="E1533" s="331"/>
      <c r="F1533" s="316"/>
      <c r="G1533" s="331"/>
      <c r="H1533" s="316"/>
      <c r="I1533" s="331"/>
      <c r="J1533" s="316"/>
      <c r="K1533" s="331"/>
      <c r="L1533" s="316"/>
      <c r="M1533" s="7"/>
      <c r="N1533" s="206"/>
    </row>
    <row r="1534" spans="1:14" s="6" customFormat="1" ht="15" customHeight="1" x14ac:dyDescent="0.25">
      <c r="A1534" s="32"/>
      <c r="B1534" s="330"/>
      <c r="C1534" s="317"/>
      <c r="D1534" s="316"/>
      <c r="E1534" s="331"/>
      <c r="F1534" s="316"/>
      <c r="G1534" s="331"/>
      <c r="H1534" s="316"/>
      <c r="I1534" s="331"/>
      <c r="J1534" s="316"/>
      <c r="K1534" s="331"/>
      <c r="L1534" s="316"/>
      <c r="M1534" s="7"/>
      <c r="N1534" s="206"/>
    </row>
    <row r="1535" spans="1:14" s="6" customFormat="1" ht="15" customHeight="1" x14ac:dyDescent="0.25">
      <c r="A1535" s="32"/>
      <c r="B1535" s="330"/>
      <c r="C1535" s="318"/>
      <c r="D1535" s="319"/>
      <c r="E1535" s="380"/>
      <c r="F1535" s="319"/>
      <c r="G1535" s="381"/>
      <c r="H1535" s="382"/>
      <c r="I1535" s="380"/>
      <c r="J1535" s="319"/>
      <c r="K1535" s="331"/>
      <c r="L1535" s="316"/>
      <c r="M1535" s="7"/>
      <c r="N1535" s="206"/>
    </row>
    <row r="1536" spans="1:14" s="6" customFormat="1" ht="15" customHeight="1" x14ac:dyDescent="0.25">
      <c r="A1536" s="32"/>
      <c r="B1536" s="333"/>
      <c r="C1536" s="210">
        <f>K1529+3</f>
        <v>43234</v>
      </c>
      <c r="D1536" s="226"/>
      <c r="E1536" s="213">
        <f>C1536+1</f>
        <v>43235</v>
      </c>
      <c r="F1536" s="222"/>
      <c r="G1536" s="213">
        <f>E1536+1</f>
        <v>43236</v>
      </c>
      <c r="H1536" s="222"/>
      <c r="I1536" s="213">
        <f>G1536+1</f>
        <v>43237</v>
      </c>
      <c r="J1536" s="222"/>
      <c r="K1536" s="213">
        <f>I1536+1</f>
        <v>43238</v>
      </c>
      <c r="L1536" s="222"/>
      <c r="M1536" s="7"/>
      <c r="N1536" s="206"/>
    </row>
    <row r="1537" spans="1:14" s="6" customFormat="1" ht="15" customHeight="1" x14ac:dyDescent="0.25">
      <c r="A1537" s="32"/>
      <c r="B1537" s="333"/>
      <c r="C1537" s="317"/>
      <c r="D1537" s="316"/>
      <c r="E1537" s="331"/>
      <c r="F1537" s="316"/>
      <c r="G1537" s="331"/>
      <c r="H1537" s="316"/>
      <c r="I1537" s="331"/>
      <c r="J1537" s="316"/>
      <c r="K1537" s="331"/>
      <c r="L1537" s="316"/>
      <c r="M1537" s="7"/>
      <c r="N1537" s="206"/>
    </row>
    <row r="1538" spans="1:14" s="6" customFormat="1" ht="15" customHeight="1" x14ac:dyDescent="0.25">
      <c r="A1538" s="35"/>
      <c r="B1538" s="333"/>
      <c r="C1538" s="317"/>
      <c r="D1538" s="316"/>
      <c r="E1538" s="331"/>
      <c r="F1538" s="316"/>
      <c r="G1538" s="331"/>
      <c r="H1538" s="316"/>
      <c r="I1538" s="331"/>
      <c r="J1538" s="316"/>
      <c r="K1538" s="331"/>
      <c r="L1538" s="316"/>
      <c r="M1538" s="7"/>
      <c r="N1538" s="206"/>
    </row>
    <row r="1539" spans="1:14" s="6" customFormat="1" ht="15" customHeight="1" x14ac:dyDescent="0.25">
      <c r="A1539" s="35"/>
      <c r="B1539" s="333"/>
      <c r="C1539" s="383"/>
      <c r="D1539" s="384"/>
      <c r="E1539" s="389"/>
      <c r="F1539" s="390"/>
      <c r="G1539" s="331"/>
      <c r="H1539" s="316"/>
      <c r="I1539" s="331"/>
      <c r="J1539" s="316"/>
      <c r="K1539" s="331"/>
      <c r="L1539" s="316"/>
      <c r="M1539" s="7"/>
      <c r="N1539" s="206"/>
    </row>
    <row r="1540" spans="1:14" s="6" customFormat="1" ht="15" customHeight="1" x14ac:dyDescent="0.25">
      <c r="A1540" s="32"/>
      <c r="B1540" s="333"/>
      <c r="C1540" s="317"/>
      <c r="D1540" s="316"/>
      <c r="E1540" s="331"/>
      <c r="F1540" s="316"/>
      <c r="G1540" s="331"/>
      <c r="H1540" s="316"/>
      <c r="I1540" s="331"/>
      <c r="J1540" s="316"/>
      <c r="K1540" s="331"/>
      <c r="L1540" s="316"/>
      <c r="M1540" s="7"/>
      <c r="N1540" s="206"/>
    </row>
    <row r="1541" spans="1:14" s="6" customFormat="1" ht="15" customHeight="1" x14ac:dyDescent="0.25">
      <c r="A1541" s="32"/>
      <c r="B1541" s="333"/>
      <c r="C1541" s="317"/>
      <c r="D1541" s="316"/>
      <c r="E1541" s="331"/>
      <c r="F1541" s="316"/>
      <c r="G1541" s="331"/>
      <c r="H1541" s="316"/>
      <c r="I1541" s="331"/>
      <c r="J1541" s="316"/>
      <c r="K1541" s="331"/>
      <c r="L1541" s="316"/>
      <c r="M1541" s="7"/>
      <c r="N1541" s="206"/>
    </row>
    <row r="1542" spans="1:14" s="6" customFormat="1" ht="15" customHeight="1" x14ac:dyDescent="0.25">
      <c r="A1542" s="32"/>
      <c r="B1542" s="333"/>
      <c r="C1542" s="318"/>
      <c r="D1542" s="319"/>
      <c r="E1542" s="331"/>
      <c r="F1542" s="316"/>
      <c r="G1542" s="381"/>
      <c r="H1542" s="382"/>
      <c r="I1542" s="380"/>
      <c r="J1542" s="319"/>
      <c r="K1542" s="331"/>
      <c r="L1542" s="316"/>
      <c r="M1542" s="7"/>
      <c r="N1542" s="206"/>
    </row>
    <row r="1543" spans="1:14" s="6" customFormat="1" ht="15" customHeight="1" x14ac:dyDescent="0.25">
      <c r="A1543" s="32"/>
      <c r="B1543" s="310">
        <v>43221</v>
      </c>
      <c r="C1543" s="210">
        <f>K1536+3</f>
        <v>43241</v>
      </c>
      <c r="D1543" s="226"/>
      <c r="E1543" s="213">
        <f>C1543+1</f>
        <v>43242</v>
      </c>
      <c r="F1543" s="222"/>
      <c r="G1543" s="213">
        <f>E1543+1</f>
        <v>43243</v>
      </c>
      <c r="H1543" s="222"/>
      <c r="I1543" s="213">
        <f>G1543+1</f>
        <v>43244</v>
      </c>
      <c r="J1543" s="222"/>
      <c r="K1543" s="213">
        <f>I1543+1</f>
        <v>43245</v>
      </c>
      <c r="L1543" s="222"/>
      <c r="M1543" s="7"/>
      <c r="N1543" s="206"/>
    </row>
    <row r="1544" spans="1:14" s="6" customFormat="1" ht="15" customHeight="1" x14ac:dyDescent="0.25">
      <c r="A1544" s="32"/>
      <c r="B1544" s="310"/>
      <c r="C1544" s="317"/>
      <c r="D1544" s="316"/>
      <c r="E1544" s="331"/>
      <c r="F1544" s="316"/>
      <c r="G1544" s="331"/>
      <c r="H1544" s="316"/>
      <c r="I1544" s="331"/>
      <c r="J1544" s="316"/>
      <c r="K1544" s="331"/>
      <c r="L1544" s="316"/>
      <c r="M1544" s="7"/>
      <c r="N1544" s="206"/>
    </row>
    <row r="1545" spans="1:14" s="6" customFormat="1" ht="15" customHeight="1" x14ac:dyDescent="0.25">
      <c r="A1545" s="32"/>
      <c r="B1545" s="310"/>
      <c r="C1545" s="317"/>
      <c r="D1545" s="316"/>
      <c r="E1545" s="331"/>
      <c r="F1545" s="316"/>
      <c r="G1545" s="331"/>
      <c r="H1545" s="316"/>
      <c r="I1545" s="331"/>
      <c r="J1545" s="316"/>
      <c r="K1545" s="331"/>
      <c r="L1545" s="316"/>
      <c r="M1545" s="7"/>
      <c r="N1545" s="206"/>
    </row>
    <row r="1546" spans="1:14" s="6" customFormat="1" ht="15" customHeight="1" x14ac:dyDescent="0.25">
      <c r="A1546" s="32"/>
      <c r="B1546" s="310"/>
      <c r="C1546" s="383" t="s">
        <v>168</v>
      </c>
      <c r="D1546" s="384"/>
      <c r="E1546" s="331"/>
      <c r="F1546" s="316"/>
      <c r="G1546" s="331"/>
      <c r="H1546" s="316"/>
      <c r="I1546" s="331"/>
      <c r="J1546" s="316"/>
      <c r="K1546" s="331"/>
      <c r="L1546" s="316"/>
      <c r="M1546" s="7"/>
      <c r="N1546" s="206"/>
    </row>
    <row r="1547" spans="1:14" s="6" customFormat="1" ht="15" customHeight="1" x14ac:dyDescent="0.25">
      <c r="A1547" s="32"/>
      <c r="B1547" s="310"/>
      <c r="C1547" s="317"/>
      <c r="D1547" s="316"/>
      <c r="E1547" s="331"/>
      <c r="F1547" s="316"/>
      <c r="G1547" s="331"/>
      <c r="H1547" s="316"/>
      <c r="I1547" s="331"/>
      <c r="J1547" s="316"/>
      <c r="K1547" s="331"/>
      <c r="L1547" s="316"/>
      <c r="M1547" s="7"/>
      <c r="N1547" s="206"/>
    </row>
    <row r="1548" spans="1:14" s="6" customFormat="1" ht="15" customHeight="1" x14ac:dyDescent="0.25">
      <c r="A1548" s="32" t="s">
        <v>154</v>
      </c>
      <c r="B1548" s="310"/>
      <c r="C1548" s="317"/>
      <c r="D1548" s="316"/>
      <c r="E1548" s="331"/>
      <c r="F1548" s="316"/>
      <c r="G1548" s="331"/>
      <c r="H1548" s="316"/>
      <c r="I1548" s="331"/>
      <c r="J1548" s="316"/>
      <c r="K1548" s="331"/>
      <c r="L1548" s="316"/>
      <c r="M1548" s="7"/>
      <c r="N1548" s="206"/>
    </row>
    <row r="1549" spans="1:14" s="6" customFormat="1" ht="15" customHeight="1" x14ac:dyDescent="0.25">
      <c r="A1549" s="32"/>
      <c r="B1549" s="310"/>
      <c r="C1549" s="318"/>
      <c r="D1549" s="319"/>
      <c r="E1549" s="380"/>
      <c r="F1549" s="319"/>
      <c r="G1549" s="381"/>
      <c r="H1549" s="382"/>
      <c r="I1549" s="380"/>
      <c r="J1549" s="319"/>
      <c r="K1549" s="331"/>
      <c r="L1549" s="316"/>
      <c r="M1549" s="7"/>
      <c r="N1549" s="206"/>
    </row>
    <row r="1550" spans="1:14" s="6" customFormat="1" ht="15" customHeight="1" x14ac:dyDescent="0.25">
      <c r="A1550" s="32"/>
      <c r="B1550" s="310"/>
      <c r="C1550" s="210">
        <f>K1543+3</f>
        <v>43248</v>
      </c>
      <c r="D1550" s="226"/>
      <c r="E1550" s="213">
        <f>C1550+1</f>
        <v>43249</v>
      </c>
      <c r="F1550" s="225"/>
      <c r="G1550" s="213">
        <f>E1550+1</f>
        <v>43250</v>
      </c>
      <c r="H1550" s="222"/>
      <c r="I1550" s="213">
        <f>G1550+1</f>
        <v>43251</v>
      </c>
      <c r="J1550" s="222"/>
      <c r="K1550" s="213">
        <f>I1550+1</f>
        <v>43252</v>
      </c>
      <c r="L1550" s="222"/>
      <c r="M1550" s="7"/>
      <c r="N1550" s="206"/>
    </row>
    <row r="1551" spans="1:14" s="6" customFormat="1" ht="15" customHeight="1" x14ac:dyDescent="0.25">
      <c r="A1551" s="32"/>
      <c r="B1551" s="310"/>
      <c r="C1551" s="317"/>
      <c r="D1551" s="316"/>
      <c r="E1551" s="331"/>
      <c r="F1551" s="316"/>
      <c r="G1551" s="331"/>
      <c r="H1551" s="316"/>
      <c r="I1551" s="331"/>
      <c r="J1551" s="316"/>
      <c r="K1551" s="331"/>
      <c r="L1551" s="316"/>
      <c r="M1551" s="7"/>
      <c r="N1551" s="206"/>
    </row>
    <row r="1552" spans="1:14" s="6" customFormat="1" ht="15" customHeight="1" x14ac:dyDescent="0.25">
      <c r="A1552" s="32"/>
      <c r="B1552" s="310"/>
      <c r="C1552" s="317"/>
      <c r="D1552" s="316"/>
      <c r="E1552" s="331"/>
      <c r="F1552" s="316"/>
      <c r="G1552" s="331"/>
      <c r="H1552" s="316"/>
      <c r="I1552" s="331"/>
      <c r="J1552" s="316"/>
      <c r="K1552" s="331"/>
      <c r="L1552" s="316"/>
      <c r="M1552" s="7"/>
      <c r="N1552" s="206"/>
    </row>
    <row r="1553" spans="1:14" s="6" customFormat="1" ht="15" customHeight="1" x14ac:dyDescent="0.25">
      <c r="A1553" s="32"/>
      <c r="B1553" s="310"/>
      <c r="C1553" s="383" t="s">
        <v>168</v>
      </c>
      <c r="D1553" s="384"/>
      <c r="E1553" s="331"/>
      <c r="F1553" s="316"/>
      <c r="G1553" s="331"/>
      <c r="H1553" s="316"/>
      <c r="I1553" s="331"/>
      <c r="J1553" s="316"/>
      <c r="K1553" s="331"/>
      <c r="L1553" s="316"/>
      <c r="M1553" s="7"/>
      <c r="N1553" s="206"/>
    </row>
    <row r="1554" spans="1:14" s="6" customFormat="1" ht="15" customHeight="1" x14ac:dyDescent="0.25">
      <c r="A1554" s="32"/>
      <c r="B1554" s="310"/>
      <c r="C1554" s="317"/>
      <c r="D1554" s="316"/>
      <c r="E1554" s="331"/>
      <c r="F1554" s="316"/>
      <c r="G1554" s="331"/>
      <c r="H1554" s="316"/>
      <c r="I1554" s="331"/>
      <c r="J1554" s="316"/>
      <c r="K1554" s="331"/>
      <c r="L1554" s="316"/>
      <c r="M1554" s="7"/>
      <c r="N1554" s="206"/>
    </row>
    <row r="1555" spans="1:14" s="6" customFormat="1" ht="15" customHeight="1" x14ac:dyDescent="0.25">
      <c r="A1555" s="32"/>
      <c r="B1555" s="310"/>
      <c r="C1555" s="317"/>
      <c r="D1555" s="316"/>
      <c r="E1555" s="331"/>
      <c r="F1555" s="316"/>
      <c r="G1555" s="331"/>
      <c r="H1555" s="316"/>
      <c r="I1555" s="331"/>
      <c r="J1555" s="316"/>
      <c r="K1555" s="331"/>
      <c r="L1555" s="316"/>
      <c r="M1555" s="7"/>
      <c r="N1555" s="206"/>
    </row>
    <row r="1556" spans="1:14" s="6" customFormat="1" ht="15" customHeight="1" x14ac:dyDescent="0.25">
      <c r="A1556" s="32"/>
      <c r="B1556" s="311"/>
      <c r="C1556" s="318"/>
      <c r="D1556" s="319"/>
      <c r="E1556" s="380"/>
      <c r="F1556" s="319"/>
      <c r="G1556" s="381"/>
      <c r="H1556" s="382"/>
      <c r="I1556" s="380"/>
      <c r="J1556" s="319"/>
      <c r="K1556" s="331"/>
      <c r="L1556" s="316"/>
      <c r="M1556" s="7"/>
      <c r="N1556" s="206"/>
    </row>
    <row r="1557" spans="1:14" s="6" customFormat="1" ht="15" customHeight="1" x14ac:dyDescent="0.25">
      <c r="A1557" s="32"/>
      <c r="B1557" s="332"/>
      <c r="C1557" s="210">
        <f>K1550+3</f>
        <v>43255</v>
      </c>
      <c r="D1557" s="226"/>
      <c r="E1557" s="213">
        <f>C1557+1</f>
        <v>43256</v>
      </c>
      <c r="F1557" s="222"/>
      <c r="G1557" s="213">
        <f>E1557+1</f>
        <v>43257</v>
      </c>
      <c r="H1557" s="222"/>
      <c r="I1557" s="213">
        <f>G1557+1</f>
        <v>43258</v>
      </c>
      <c r="J1557" s="222"/>
      <c r="K1557" s="213">
        <f>I1557+1</f>
        <v>43259</v>
      </c>
      <c r="L1557" s="222"/>
      <c r="M1557" s="7"/>
      <c r="N1557" s="206"/>
    </row>
    <row r="1558" spans="1:14" s="6" customFormat="1" ht="15" customHeight="1" x14ac:dyDescent="0.25">
      <c r="A1558" s="32"/>
      <c r="B1558" s="332"/>
      <c r="C1558" s="317"/>
      <c r="D1558" s="316"/>
      <c r="E1558" s="331"/>
      <c r="F1558" s="316"/>
      <c r="G1558" s="331"/>
      <c r="H1558" s="316"/>
      <c r="I1558" s="331"/>
      <c r="J1558" s="316"/>
      <c r="K1558" s="331"/>
      <c r="L1558" s="316"/>
      <c r="M1558" s="7"/>
      <c r="N1558" s="206"/>
    </row>
    <row r="1559" spans="1:14" s="6" customFormat="1" ht="15" customHeight="1" x14ac:dyDescent="0.25">
      <c r="A1559" s="32"/>
      <c r="B1559" s="332"/>
      <c r="C1559" s="317"/>
      <c r="D1559" s="316"/>
      <c r="E1559" s="331"/>
      <c r="F1559" s="316"/>
      <c r="G1559" s="331"/>
      <c r="H1559" s="316"/>
      <c r="I1559" s="331"/>
      <c r="J1559" s="316"/>
      <c r="K1559" s="331"/>
      <c r="L1559" s="316"/>
      <c r="M1559" s="7"/>
      <c r="N1559" s="206"/>
    </row>
    <row r="1560" spans="1:14" s="6" customFormat="1" ht="15" customHeight="1" x14ac:dyDescent="0.25">
      <c r="A1560" s="32"/>
      <c r="B1560" s="332"/>
      <c r="C1560" s="383"/>
      <c r="D1560" s="384"/>
      <c r="E1560" s="331"/>
      <c r="F1560" s="316"/>
      <c r="G1560" s="331"/>
      <c r="H1560" s="316"/>
      <c r="I1560" s="331"/>
      <c r="J1560" s="316"/>
      <c r="K1560" s="331"/>
      <c r="L1560" s="316"/>
      <c r="M1560" s="7"/>
      <c r="N1560" s="206"/>
    </row>
    <row r="1561" spans="1:14" s="6" customFormat="1" ht="15" customHeight="1" x14ac:dyDescent="0.25">
      <c r="A1561" s="32"/>
      <c r="B1561" s="332"/>
      <c r="C1561" s="317"/>
      <c r="D1561" s="316"/>
      <c r="E1561" s="331"/>
      <c r="F1561" s="316"/>
      <c r="G1561" s="331"/>
      <c r="H1561" s="316"/>
      <c r="I1561" s="331"/>
      <c r="J1561" s="316"/>
      <c r="K1561" s="331"/>
      <c r="L1561" s="316"/>
      <c r="M1561" s="7"/>
      <c r="N1561" s="206"/>
    </row>
    <row r="1562" spans="1:14" s="6" customFormat="1" ht="15" customHeight="1" x14ac:dyDescent="0.25">
      <c r="A1562" s="32"/>
      <c r="B1562" s="332"/>
      <c r="C1562" s="317"/>
      <c r="D1562" s="316"/>
      <c r="E1562" s="331"/>
      <c r="F1562" s="316"/>
      <c r="G1562" s="331"/>
      <c r="H1562" s="316"/>
      <c r="I1562" s="331"/>
      <c r="J1562" s="316"/>
      <c r="K1562" s="331"/>
      <c r="L1562" s="316"/>
      <c r="M1562" s="7"/>
      <c r="N1562" s="206"/>
    </row>
    <row r="1563" spans="1:14" s="6" customFormat="1" ht="15" customHeight="1" x14ac:dyDescent="0.25">
      <c r="A1563" s="32"/>
      <c r="B1563" s="332"/>
      <c r="C1563" s="318"/>
      <c r="D1563" s="319"/>
      <c r="E1563" s="380"/>
      <c r="F1563" s="319"/>
      <c r="G1563" s="381"/>
      <c r="H1563" s="382"/>
      <c r="I1563" s="380"/>
      <c r="J1563" s="319"/>
      <c r="K1563" s="331"/>
      <c r="L1563" s="316"/>
      <c r="M1563" s="7"/>
      <c r="N1563" s="206"/>
    </row>
    <row r="1564" spans="1:14" s="6" customFormat="1" ht="15" customHeight="1" x14ac:dyDescent="0.25">
      <c r="A1564" s="32"/>
      <c r="B1564" s="332"/>
      <c r="C1564" s="210">
        <f>K1557+3</f>
        <v>43262</v>
      </c>
      <c r="D1564" s="226"/>
      <c r="E1564" s="213">
        <f>C1564+1</f>
        <v>43263</v>
      </c>
      <c r="F1564" s="222"/>
      <c r="G1564" s="213">
        <f>E1564+1</f>
        <v>43264</v>
      </c>
      <c r="H1564" s="222"/>
      <c r="I1564" s="213">
        <f>G1564+1</f>
        <v>43265</v>
      </c>
      <c r="J1564" s="222"/>
      <c r="K1564" s="213">
        <f>I1564+1</f>
        <v>43266</v>
      </c>
      <c r="L1564" s="222"/>
      <c r="M1564" s="7"/>
      <c r="N1564" s="206"/>
    </row>
    <row r="1565" spans="1:14" s="6" customFormat="1" ht="15" customHeight="1" x14ac:dyDescent="0.25">
      <c r="A1565" s="32"/>
      <c r="B1565" s="332"/>
      <c r="C1565" s="317"/>
      <c r="D1565" s="316"/>
      <c r="E1565" s="331"/>
      <c r="F1565" s="316"/>
      <c r="G1565" s="331"/>
      <c r="H1565" s="316"/>
      <c r="I1565" s="331"/>
      <c r="J1565" s="316"/>
      <c r="K1565" s="331"/>
      <c r="L1565" s="316"/>
      <c r="M1565" s="7"/>
      <c r="N1565" s="206"/>
    </row>
    <row r="1566" spans="1:14" s="6" customFormat="1" ht="15" customHeight="1" x14ac:dyDescent="0.25">
      <c r="A1566" s="32"/>
      <c r="B1566" s="332"/>
      <c r="C1566" s="317"/>
      <c r="D1566" s="316"/>
      <c r="E1566" s="331"/>
      <c r="F1566" s="316"/>
      <c r="G1566" s="331"/>
      <c r="H1566" s="316"/>
      <c r="I1566" s="331"/>
      <c r="J1566" s="316"/>
      <c r="K1566" s="331"/>
      <c r="L1566" s="316"/>
      <c r="M1566" s="7"/>
      <c r="N1566" s="206"/>
    </row>
    <row r="1567" spans="1:14" s="6" customFormat="1" ht="15" customHeight="1" x14ac:dyDescent="0.25">
      <c r="A1567" s="32"/>
      <c r="B1567" s="332"/>
      <c r="C1567" s="317"/>
      <c r="D1567" s="316"/>
      <c r="E1567" s="331"/>
      <c r="F1567" s="316"/>
      <c r="G1567" s="331"/>
      <c r="H1567" s="316"/>
      <c r="I1567" s="331"/>
      <c r="J1567" s="316"/>
      <c r="K1567" s="331"/>
      <c r="L1567" s="316"/>
      <c r="M1567" s="7"/>
      <c r="N1567" s="206"/>
    </row>
    <row r="1568" spans="1:14" s="6" customFormat="1" ht="15" customHeight="1" x14ac:dyDescent="0.25">
      <c r="A1568" s="32"/>
      <c r="B1568" s="332"/>
      <c r="C1568" s="317"/>
      <c r="D1568" s="316"/>
      <c r="E1568" s="331"/>
      <c r="F1568" s="316"/>
      <c r="G1568" s="387"/>
      <c r="H1568" s="388"/>
      <c r="I1568" s="331"/>
      <c r="J1568" s="316"/>
      <c r="K1568" s="331"/>
      <c r="L1568" s="316"/>
      <c r="M1568" s="7"/>
      <c r="N1568" s="206"/>
    </row>
    <row r="1569" spans="1:14" s="6" customFormat="1" ht="15" customHeight="1" x14ac:dyDescent="0.25">
      <c r="A1569" s="32"/>
      <c r="B1569" s="332"/>
      <c r="C1569" s="317"/>
      <c r="D1569" s="316"/>
      <c r="E1569" s="331"/>
      <c r="F1569" s="316"/>
      <c r="G1569" s="331"/>
      <c r="H1569" s="316"/>
      <c r="I1569" s="331"/>
      <c r="J1569" s="316"/>
      <c r="K1569" s="331"/>
      <c r="L1569" s="316"/>
      <c r="M1569" s="7"/>
      <c r="N1569" s="206"/>
    </row>
    <row r="1570" spans="1:14" s="6" customFormat="1" ht="15" customHeight="1" x14ac:dyDescent="0.25">
      <c r="A1570" s="32"/>
      <c r="B1570" s="332"/>
      <c r="C1570" s="318"/>
      <c r="D1570" s="319"/>
      <c r="E1570" s="380"/>
      <c r="F1570" s="319"/>
      <c r="G1570" s="381"/>
      <c r="H1570" s="382"/>
      <c r="I1570" s="380"/>
      <c r="J1570" s="319"/>
      <c r="K1570" s="331"/>
      <c r="L1570" s="316"/>
      <c r="M1570" s="7"/>
      <c r="N1570" s="206"/>
    </row>
    <row r="1571" spans="1:14" s="6" customFormat="1" ht="15" customHeight="1" x14ac:dyDescent="0.25">
      <c r="A1571" s="32"/>
      <c r="B1571" s="312">
        <v>43252</v>
      </c>
      <c r="C1571" s="210">
        <f>K1564+3</f>
        <v>43269</v>
      </c>
      <c r="D1571" s="226"/>
      <c r="E1571" s="213">
        <f>C1571+1</f>
        <v>43270</v>
      </c>
      <c r="F1571" s="222"/>
      <c r="G1571" s="213">
        <f>E1571+1</f>
        <v>43271</v>
      </c>
      <c r="H1571" s="222"/>
      <c r="I1571" s="213">
        <f>G1571+1</f>
        <v>43272</v>
      </c>
      <c r="J1571" s="222"/>
      <c r="K1571" s="213">
        <f>I1571+1</f>
        <v>43273</v>
      </c>
      <c r="L1571" s="222"/>
      <c r="M1571" s="7"/>
      <c r="N1571" s="206"/>
    </row>
    <row r="1572" spans="1:14" s="6" customFormat="1" ht="15" customHeight="1" x14ac:dyDescent="0.25">
      <c r="A1572" s="32"/>
      <c r="B1572" s="312"/>
      <c r="C1572" s="331"/>
      <c r="D1572" s="379"/>
      <c r="E1572" s="331"/>
      <c r="F1572" s="316"/>
      <c r="G1572" s="331"/>
      <c r="H1572" s="316"/>
      <c r="I1572" s="331"/>
      <c r="J1572" s="316"/>
      <c r="K1572" s="331"/>
      <c r="L1572" s="316"/>
      <c r="M1572" s="7"/>
      <c r="N1572" s="206"/>
    </row>
    <row r="1573" spans="1:14" s="6" customFormat="1" ht="15" customHeight="1" x14ac:dyDescent="0.25">
      <c r="A1573" s="32"/>
      <c r="B1573" s="312"/>
      <c r="C1573" s="331"/>
      <c r="D1573" s="316"/>
      <c r="E1573" s="331"/>
      <c r="F1573" s="316"/>
      <c r="G1573" s="331"/>
      <c r="H1573" s="316"/>
      <c r="I1573" s="331"/>
      <c r="J1573" s="316"/>
      <c r="K1573" s="331"/>
      <c r="L1573" s="316"/>
      <c r="M1573" s="7"/>
      <c r="N1573" s="206"/>
    </row>
    <row r="1574" spans="1:14" s="6" customFormat="1" ht="15" customHeight="1" x14ac:dyDescent="0.25">
      <c r="A1574" s="32"/>
      <c r="B1574" s="312"/>
      <c r="C1574" s="386"/>
      <c r="D1574" s="384"/>
      <c r="E1574" s="331"/>
      <c r="F1574" s="316"/>
      <c r="G1574" s="331"/>
      <c r="H1574" s="316"/>
      <c r="I1574" s="331"/>
      <c r="J1574" s="379"/>
      <c r="K1574" s="331"/>
      <c r="L1574" s="316"/>
      <c r="M1574" s="7"/>
      <c r="N1574" s="206"/>
    </row>
    <row r="1575" spans="1:14" s="6" customFormat="1" ht="15" customHeight="1" x14ac:dyDescent="0.25">
      <c r="A1575" s="32"/>
      <c r="B1575" s="312"/>
      <c r="C1575" s="331"/>
      <c r="D1575" s="379"/>
      <c r="E1575" s="331"/>
      <c r="F1575" s="316"/>
      <c r="G1575" s="331"/>
      <c r="H1575" s="316"/>
      <c r="I1575" s="331"/>
      <c r="J1575" s="379"/>
      <c r="K1575" s="331"/>
      <c r="L1575" s="316"/>
      <c r="M1575" s="7"/>
      <c r="N1575" s="206"/>
    </row>
    <row r="1576" spans="1:14" s="6" customFormat="1" ht="15" customHeight="1" x14ac:dyDescent="0.25">
      <c r="A1576" s="32"/>
      <c r="B1576" s="312"/>
      <c r="C1576" s="331"/>
      <c r="D1576" s="316"/>
      <c r="E1576" s="331"/>
      <c r="F1576" s="316"/>
      <c r="G1576" s="331"/>
      <c r="H1576" s="316"/>
      <c r="I1576" s="331"/>
      <c r="J1576" s="316"/>
      <c r="K1576" s="331"/>
      <c r="L1576" s="316"/>
      <c r="M1576" s="7"/>
      <c r="N1576" s="206"/>
    </row>
    <row r="1577" spans="1:14" s="6" customFormat="1" ht="23.25" customHeight="1" x14ac:dyDescent="0.25">
      <c r="A1577" s="32"/>
      <c r="B1577" s="312"/>
      <c r="C1577" s="318"/>
      <c r="D1577" s="319"/>
      <c r="E1577" s="380"/>
      <c r="F1577" s="319"/>
      <c r="G1577" s="381"/>
      <c r="H1577" s="382"/>
      <c r="I1577" s="380"/>
      <c r="J1577" s="319"/>
      <c r="K1577" s="331"/>
      <c r="L1577" s="316"/>
      <c r="M1577" s="7"/>
      <c r="N1577" s="206"/>
    </row>
    <row r="1578" spans="1:14" s="6" customFormat="1" ht="15" customHeight="1" x14ac:dyDescent="0.25">
      <c r="A1578" s="32"/>
      <c r="B1578" s="312"/>
      <c r="C1578" s="213">
        <f>K1571+3</f>
        <v>43276</v>
      </c>
      <c r="D1578" s="222"/>
      <c r="E1578" s="213">
        <f>C1578+1</f>
        <v>43277</v>
      </c>
      <c r="F1578" s="222"/>
      <c r="G1578" s="213">
        <f>E1578+1</f>
        <v>43278</v>
      </c>
      <c r="H1578" s="222"/>
      <c r="I1578" s="213">
        <f>G1578+1</f>
        <v>43279</v>
      </c>
      <c r="J1578" s="222"/>
      <c r="K1578" s="213">
        <f>I1578+1</f>
        <v>43280</v>
      </c>
      <c r="L1578" s="222"/>
      <c r="M1578" s="7"/>
      <c r="N1578" s="206"/>
    </row>
    <row r="1579" spans="1:14" s="6" customFormat="1" ht="15" customHeight="1" x14ac:dyDescent="0.25">
      <c r="A1579" s="32"/>
      <c r="B1579" s="312"/>
      <c r="C1579" s="331"/>
      <c r="D1579" s="316"/>
      <c r="E1579" s="331"/>
      <c r="F1579" s="316"/>
      <c r="G1579" s="331"/>
      <c r="H1579" s="316"/>
      <c r="I1579" s="331"/>
      <c r="J1579" s="316"/>
      <c r="K1579" s="331"/>
      <c r="L1579" s="316"/>
      <c r="M1579" s="7"/>
      <c r="N1579" s="206"/>
    </row>
    <row r="1580" spans="1:14" s="6" customFormat="1" ht="15" customHeight="1" x14ac:dyDescent="0.25">
      <c r="A1580" s="32"/>
      <c r="B1580" s="312"/>
      <c r="C1580" s="331"/>
      <c r="D1580" s="316"/>
      <c r="E1580" s="331"/>
      <c r="F1580" s="316"/>
      <c r="G1580" s="331"/>
      <c r="H1580" s="316"/>
      <c r="I1580" s="331"/>
      <c r="J1580" s="316"/>
      <c r="K1580" s="331"/>
      <c r="L1580" s="316"/>
      <c r="M1580" s="7"/>
      <c r="N1580" s="206"/>
    </row>
    <row r="1581" spans="1:14" s="6" customFormat="1" ht="15" customHeight="1" x14ac:dyDescent="0.25">
      <c r="A1581" s="32"/>
      <c r="B1581" s="312"/>
      <c r="C1581" s="331"/>
      <c r="D1581" s="316"/>
      <c r="E1581" s="331"/>
      <c r="F1581" s="316"/>
      <c r="G1581" s="331"/>
      <c r="H1581" s="316"/>
      <c r="I1581" s="331"/>
      <c r="J1581" s="316"/>
      <c r="K1581" s="331"/>
      <c r="L1581" s="316"/>
      <c r="M1581" s="7"/>
      <c r="N1581" s="206"/>
    </row>
    <row r="1582" spans="1:14" s="6" customFormat="1" ht="15" customHeight="1" x14ac:dyDescent="0.25">
      <c r="A1582" s="32"/>
      <c r="B1582" s="312"/>
      <c r="C1582" s="331"/>
      <c r="D1582" s="316"/>
      <c r="E1582" s="331"/>
      <c r="F1582" s="316"/>
      <c r="G1582" s="331"/>
      <c r="H1582" s="316"/>
      <c r="I1582" s="331"/>
      <c r="J1582" s="316"/>
      <c r="K1582" s="331"/>
      <c r="L1582" s="316"/>
      <c r="M1582" s="7"/>
      <c r="N1582" s="206"/>
    </row>
    <row r="1583" spans="1:14" s="6" customFormat="1" ht="15" customHeight="1" x14ac:dyDescent="0.25">
      <c r="A1583" s="32"/>
      <c r="B1583" s="312"/>
      <c r="C1583" s="331"/>
      <c r="D1583" s="316"/>
      <c r="E1583" s="331"/>
      <c r="F1583" s="316"/>
      <c r="G1583" s="331"/>
      <c r="H1583" s="316"/>
      <c r="I1583" s="331"/>
      <c r="J1583" s="316"/>
      <c r="K1583" s="331"/>
      <c r="L1583" s="316"/>
      <c r="M1583" s="7"/>
      <c r="N1583" s="206"/>
    </row>
    <row r="1584" spans="1:14" s="6" customFormat="1" ht="15" customHeight="1" x14ac:dyDescent="0.25">
      <c r="A1584" s="32"/>
      <c r="B1584" s="313"/>
      <c r="C1584" s="380"/>
      <c r="D1584" s="319"/>
      <c r="E1584" s="380"/>
      <c r="F1584" s="319"/>
      <c r="G1584" s="381"/>
      <c r="H1584" s="382"/>
      <c r="I1584" s="380"/>
      <c r="J1584" s="319"/>
      <c r="K1584" s="331"/>
      <c r="L1584" s="316"/>
      <c r="M1584" s="7"/>
      <c r="N1584" s="206"/>
    </row>
    <row r="1585" spans="1:14" s="6" customFormat="1" ht="15" customHeight="1" x14ac:dyDescent="0.25">
      <c r="A1585" s="112"/>
      <c r="B1585" s="330"/>
      <c r="C1585" s="213">
        <f>K1578+3</f>
        <v>43283</v>
      </c>
      <c r="D1585" s="222"/>
      <c r="E1585" s="213">
        <f>C1585+1</f>
        <v>43284</v>
      </c>
      <c r="F1585" s="222"/>
      <c r="G1585" s="213">
        <f>E1585+1</f>
        <v>43285</v>
      </c>
      <c r="H1585" s="222"/>
      <c r="I1585" s="213">
        <f>G1585+1</f>
        <v>43286</v>
      </c>
      <c r="J1585" s="222"/>
      <c r="K1585" s="213">
        <f>I1585+1</f>
        <v>43287</v>
      </c>
      <c r="L1585" s="222"/>
      <c r="M1585" s="7"/>
      <c r="N1585" s="206"/>
    </row>
    <row r="1586" spans="1:14" s="6" customFormat="1" ht="15" customHeight="1" x14ac:dyDescent="0.25">
      <c r="A1586" s="32"/>
      <c r="B1586" s="330"/>
      <c r="C1586" s="331"/>
      <c r="D1586" s="316"/>
      <c r="E1586" s="331"/>
      <c r="F1586" s="316"/>
      <c r="G1586" s="331"/>
      <c r="H1586" s="316"/>
      <c r="I1586" s="331"/>
      <c r="J1586" s="316"/>
      <c r="K1586" s="331"/>
      <c r="L1586" s="316"/>
      <c r="M1586" s="7"/>
      <c r="N1586" s="206"/>
    </row>
    <row r="1587" spans="1:14" s="6" customFormat="1" ht="15" customHeight="1" x14ac:dyDescent="0.25">
      <c r="A1587" s="32"/>
      <c r="B1587" s="330"/>
      <c r="C1587" s="331"/>
      <c r="D1587" s="316"/>
      <c r="E1587" s="331"/>
      <c r="F1587" s="316"/>
      <c r="G1587" s="331"/>
      <c r="H1587" s="316"/>
      <c r="I1587" s="331"/>
      <c r="J1587" s="316"/>
      <c r="K1587" s="378"/>
      <c r="L1587" s="379"/>
      <c r="M1587" s="7"/>
      <c r="N1587" s="206"/>
    </row>
    <row r="1588" spans="1:14" s="6" customFormat="1" ht="15" customHeight="1" x14ac:dyDescent="0.25">
      <c r="A1588" s="32"/>
      <c r="B1588" s="330"/>
      <c r="C1588" s="331"/>
      <c r="D1588" s="316"/>
      <c r="E1588" s="331"/>
      <c r="F1588" s="316"/>
      <c r="G1588" s="331"/>
      <c r="H1588" s="316"/>
      <c r="I1588" s="331"/>
      <c r="J1588" s="316"/>
      <c r="K1588" s="331"/>
      <c r="L1588" s="316"/>
      <c r="M1588" s="7"/>
      <c r="N1588" s="206"/>
    </row>
    <row r="1589" spans="1:14" s="6" customFormat="1" ht="15" customHeight="1" x14ac:dyDescent="0.25">
      <c r="A1589" s="32"/>
      <c r="B1589" s="330"/>
      <c r="C1589" s="331"/>
      <c r="D1589" s="316"/>
      <c r="E1589" s="331"/>
      <c r="F1589" s="316"/>
      <c r="G1589" s="331"/>
      <c r="H1589" s="316"/>
      <c r="I1589" s="331"/>
      <c r="J1589" s="316"/>
      <c r="K1589" s="331"/>
      <c r="L1589" s="316"/>
      <c r="M1589" s="7"/>
      <c r="N1589" s="206"/>
    </row>
    <row r="1590" spans="1:14" s="6" customFormat="1" ht="15" customHeight="1" x14ac:dyDescent="0.25">
      <c r="A1590" s="32"/>
      <c r="B1590" s="330"/>
      <c r="C1590" s="331"/>
      <c r="D1590" s="316"/>
      <c r="E1590" s="331"/>
      <c r="F1590" s="316"/>
      <c r="G1590" s="331"/>
      <c r="H1590" s="316"/>
      <c r="I1590" s="331"/>
      <c r="J1590" s="316"/>
      <c r="K1590" s="331"/>
      <c r="L1590" s="316"/>
      <c r="M1590" s="7"/>
      <c r="N1590" s="206"/>
    </row>
    <row r="1591" spans="1:14" s="6" customFormat="1" ht="15" customHeight="1" x14ac:dyDescent="0.25">
      <c r="A1591" s="32"/>
      <c r="B1591" s="330"/>
      <c r="C1591" s="380"/>
      <c r="D1591" s="319"/>
      <c r="E1591" s="380"/>
      <c r="F1591" s="319"/>
      <c r="G1591" s="381"/>
      <c r="H1591" s="382"/>
      <c r="I1591" s="380"/>
      <c r="J1591" s="319"/>
      <c r="K1591" s="331"/>
      <c r="L1591" s="316"/>
      <c r="M1591" s="7"/>
      <c r="N1591" s="206"/>
    </row>
    <row r="1592" spans="1:14" s="6" customFormat="1" ht="15" customHeight="1" x14ac:dyDescent="0.25">
      <c r="A1592" s="32"/>
      <c r="B1592" s="330"/>
      <c r="C1592" s="213">
        <f>K1585+3</f>
        <v>43290</v>
      </c>
      <c r="D1592" s="233"/>
      <c r="E1592" s="213">
        <f>C1592+1</f>
        <v>43291</v>
      </c>
      <c r="F1592" s="222"/>
      <c r="G1592" s="213">
        <f>E1592+1</f>
        <v>43292</v>
      </c>
      <c r="H1592" s="222"/>
      <c r="I1592" s="213">
        <f>G1592+1</f>
        <v>43293</v>
      </c>
      <c r="J1592" s="222"/>
      <c r="K1592" s="213">
        <f>I1592+1</f>
        <v>43294</v>
      </c>
      <c r="L1592" s="222"/>
      <c r="M1592" s="7"/>
      <c r="N1592" s="206"/>
    </row>
    <row r="1593" spans="1:14" s="6" customFormat="1" ht="15" customHeight="1" x14ac:dyDescent="0.25">
      <c r="A1593" s="32"/>
      <c r="B1593" s="330"/>
      <c r="C1593" s="331"/>
      <c r="D1593" s="316"/>
      <c r="E1593" s="331"/>
      <c r="F1593" s="316"/>
      <c r="G1593" s="331"/>
      <c r="H1593" s="316"/>
      <c r="I1593" s="331"/>
      <c r="J1593" s="316"/>
      <c r="K1593" s="331"/>
      <c r="L1593" s="316"/>
      <c r="M1593" s="7"/>
      <c r="N1593" s="206"/>
    </row>
    <row r="1594" spans="1:14" s="6" customFormat="1" ht="15" customHeight="1" x14ac:dyDescent="0.25">
      <c r="A1594" s="32"/>
      <c r="B1594" s="330"/>
      <c r="C1594" s="331"/>
      <c r="D1594" s="316"/>
      <c r="E1594" s="331"/>
      <c r="F1594" s="316"/>
      <c r="G1594" s="331"/>
      <c r="H1594" s="316"/>
      <c r="I1594" s="331"/>
      <c r="J1594" s="316"/>
      <c r="K1594" s="331"/>
      <c r="L1594" s="316"/>
      <c r="M1594" s="7"/>
      <c r="N1594" s="206"/>
    </row>
    <row r="1595" spans="1:14" s="6" customFormat="1" ht="15" customHeight="1" x14ac:dyDescent="0.25">
      <c r="A1595" s="32"/>
      <c r="B1595" s="330"/>
      <c r="C1595" s="331"/>
      <c r="D1595" s="316"/>
      <c r="E1595" s="331"/>
      <c r="F1595" s="316"/>
      <c r="G1595" s="331"/>
      <c r="H1595" s="316"/>
      <c r="I1595" s="331"/>
      <c r="J1595" s="316"/>
      <c r="K1595" s="331"/>
      <c r="L1595" s="316"/>
      <c r="M1595" s="7"/>
      <c r="N1595" s="206"/>
    </row>
    <row r="1596" spans="1:14" s="6" customFormat="1" ht="15" customHeight="1" x14ac:dyDescent="0.25">
      <c r="A1596" s="32"/>
      <c r="B1596" s="330"/>
      <c r="C1596" s="331"/>
      <c r="D1596" s="316"/>
      <c r="E1596" s="331"/>
      <c r="F1596" s="316"/>
      <c r="G1596" s="331"/>
      <c r="H1596" s="316"/>
      <c r="I1596" s="331"/>
      <c r="J1596" s="316"/>
      <c r="K1596" s="331"/>
      <c r="L1596" s="316"/>
      <c r="M1596" s="7"/>
      <c r="N1596" s="206"/>
    </row>
    <row r="1597" spans="1:14" s="6" customFormat="1" ht="15" customHeight="1" x14ac:dyDescent="0.25">
      <c r="A1597" s="32"/>
      <c r="B1597" s="330"/>
      <c r="C1597" s="331"/>
      <c r="D1597" s="316"/>
      <c r="E1597" s="331"/>
      <c r="F1597" s="316"/>
      <c r="G1597" s="331"/>
      <c r="H1597" s="316"/>
      <c r="I1597" s="331"/>
      <c r="J1597" s="316"/>
      <c r="K1597" s="331"/>
      <c r="L1597" s="316"/>
      <c r="M1597" s="7"/>
      <c r="N1597" s="206"/>
    </row>
    <row r="1598" spans="1:14" s="6" customFormat="1" ht="15" customHeight="1" x14ac:dyDescent="0.25">
      <c r="A1598" s="32"/>
      <c r="B1598" s="330"/>
      <c r="C1598" s="380"/>
      <c r="D1598" s="319"/>
      <c r="E1598" s="380"/>
      <c r="F1598" s="319"/>
      <c r="G1598" s="381"/>
      <c r="H1598" s="382"/>
      <c r="I1598" s="380"/>
      <c r="J1598" s="319"/>
      <c r="K1598" s="331"/>
      <c r="L1598" s="316"/>
      <c r="M1598" s="7"/>
      <c r="N1598" s="206"/>
    </row>
    <row r="1599" spans="1:14" s="6" customFormat="1" ht="15" customHeight="1" x14ac:dyDescent="0.25">
      <c r="A1599" s="32"/>
      <c r="B1599" s="330"/>
      <c r="C1599" s="210">
        <f>K1592+3</f>
        <v>43297</v>
      </c>
      <c r="D1599" s="222"/>
      <c r="E1599" s="213">
        <f>C1599+1</f>
        <v>43298</v>
      </c>
      <c r="F1599" s="222"/>
      <c r="G1599" s="213">
        <f>E1599+1</f>
        <v>43299</v>
      </c>
      <c r="H1599" s="222"/>
      <c r="I1599" s="213">
        <f>G1599+1</f>
        <v>43300</v>
      </c>
      <c r="J1599" s="222"/>
      <c r="K1599" s="213">
        <f>I1599+1</f>
        <v>43301</v>
      </c>
      <c r="L1599" s="222"/>
      <c r="M1599" s="7"/>
      <c r="N1599" s="206"/>
    </row>
    <row r="1600" spans="1:14" s="6" customFormat="1" ht="15" customHeight="1" x14ac:dyDescent="0.25">
      <c r="A1600" s="32"/>
      <c r="B1600" s="330"/>
      <c r="C1600" s="317"/>
      <c r="D1600" s="316"/>
      <c r="E1600" s="331"/>
      <c r="F1600" s="316"/>
      <c r="G1600" s="331"/>
      <c r="H1600" s="316"/>
      <c r="I1600" s="331"/>
      <c r="J1600" s="316"/>
      <c r="K1600" s="331"/>
      <c r="L1600" s="316"/>
      <c r="M1600" s="7"/>
      <c r="N1600" s="206"/>
    </row>
    <row r="1601" spans="1:14" s="6" customFormat="1" ht="15" customHeight="1" x14ac:dyDescent="0.25">
      <c r="A1601" s="32"/>
      <c r="B1601" s="330"/>
      <c r="C1601" s="317"/>
      <c r="D1601" s="316"/>
      <c r="E1601" s="331"/>
      <c r="F1601" s="316"/>
      <c r="G1601" s="331"/>
      <c r="H1601" s="316"/>
      <c r="I1601" s="331"/>
      <c r="J1601" s="316"/>
      <c r="K1601" s="331"/>
      <c r="L1601" s="316"/>
      <c r="M1601" s="7"/>
      <c r="N1601" s="206"/>
    </row>
    <row r="1602" spans="1:14" s="6" customFormat="1" ht="15" customHeight="1" x14ac:dyDescent="0.25">
      <c r="A1602" s="32"/>
      <c r="B1602" s="330"/>
      <c r="C1602" s="383"/>
      <c r="D1602" s="384"/>
      <c r="E1602" s="331"/>
      <c r="F1602" s="316"/>
      <c r="G1602" s="331"/>
      <c r="H1602" s="316"/>
      <c r="I1602" s="331"/>
      <c r="J1602" s="316"/>
      <c r="K1602" s="331"/>
      <c r="L1602" s="316"/>
      <c r="M1602" s="7"/>
      <c r="N1602" s="206"/>
    </row>
    <row r="1603" spans="1:14" s="6" customFormat="1" ht="15" customHeight="1" x14ac:dyDescent="0.25">
      <c r="A1603" s="32"/>
      <c r="B1603" s="330"/>
      <c r="C1603" s="317"/>
      <c r="D1603" s="316"/>
      <c r="E1603" s="331"/>
      <c r="F1603" s="316"/>
      <c r="G1603" s="331"/>
      <c r="H1603" s="316"/>
      <c r="I1603" s="331"/>
      <c r="J1603" s="316"/>
      <c r="K1603" s="331"/>
      <c r="L1603" s="316"/>
      <c r="M1603" s="7"/>
      <c r="N1603" s="206"/>
    </row>
    <row r="1604" spans="1:14" s="6" customFormat="1" ht="15" customHeight="1" x14ac:dyDescent="0.25">
      <c r="A1604" s="32"/>
      <c r="B1604" s="330"/>
      <c r="C1604" s="317"/>
      <c r="D1604" s="316"/>
      <c r="E1604" s="331"/>
      <c r="F1604" s="316"/>
      <c r="G1604" s="331"/>
      <c r="H1604" s="316"/>
      <c r="I1604" s="331"/>
      <c r="J1604" s="316"/>
      <c r="K1604" s="331"/>
      <c r="L1604" s="316"/>
      <c r="M1604" s="7"/>
      <c r="N1604" s="206"/>
    </row>
    <row r="1605" spans="1:14" s="6" customFormat="1" ht="15" customHeight="1" x14ac:dyDescent="0.25">
      <c r="A1605" s="32"/>
      <c r="B1605" s="330"/>
      <c r="C1605" s="318"/>
      <c r="D1605" s="319"/>
      <c r="E1605" s="380"/>
      <c r="F1605" s="319"/>
      <c r="G1605" s="381"/>
      <c r="H1605" s="382"/>
      <c r="I1605" s="380"/>
      <c r="J1605" s="319"/>
      <c r="K1605" s="331"/>
      <c r="L1605" s="316"/>
      <c r="M1605" s="7"/>
      <c r="N1605" s="206"/>
    </row>
    <row r="1606" spans="1:14" s="6" customFormat="1" ht="15" customHeight="1" x14ac:dyDescent="0.25">
      <c r="A1606" s="32"/>
      <c r="B1606" s="314">
        <v>43282</v>
      </c>
      <c r="C1606" s="210">
        <f>K1599+3</f>
        <v>43304</v>
      </c>
      <c r="D1606" s="222"/>
      <c r="E1606" s="213">
        <f>C1606+1</f>
        <v>43305</v>
      </c>
      <c r="F1606" s="222"/>
      <c r="G1606" s="213">
        <f>E1606+1</f>
        <v>43306</v>
      </c>
      <c r="H1606" s="222"/>
      <c r="I1606" s="213">
        <f>G1606+1</f>
        <v>43307</v>
      </c>
      <c r="J1606" s="222"/>
      <c r="K1606" s="213">
        <f>I1606+1</f>
        <v>43308</v>
      </c>
      <c r="L1606" s="222"/>
      <c r="M1606" s="7"/>
      <c r="N1606" s="206"/>
    </row>
    <row r="1607" spans="1:14" s="6" customFormat="1" ht="15" customHeight="1" x14ac:dyDescent="0.25">
      <c r="A1607" s="32"/>
      <c r="B1607" s="314"/>
      <c r="C1607" s="317"/>
      <c r="D1607" s="316"/>
      <c r="E1607" s="331"/>
      <c r="F1607" s="316"/>
      <c r="G1607" s="331"/>
      <c r="H1607" s="316"/>
      <c r="I1607" s="331"/>
      <c r="J1607" s="316"/>
      <c r="K1607" s="331"/>
      <c r="L1607" s="316"/>
      <c r="M1607" s="7"/>
      <c r="N1607" s="206"/>
    </row>
    <row r="1608" spans="1:14" s="6" customFormat="1" ht="15" customHeight="1" x14ac:dyDescent="0.25">
      <c r="A1608" s="32"/>
      <c r="B1608" s="314"/>
      <c r="C1608" s="317"/>
      <c r="D1608" s="316"/>
      <c r="E1608" s="331"/>
      <c r="F1608" s="316"/>
      <c r="G1608" s="331"/>
      <c r="H1608" s="316"/>
      <c r="I1608" s="331"/>
      <c r="J1608" s="316"/>
      <c r="K1608" s="331"/>
      <c r="L1608" s="316"/>
      <c r="M1608" s="7"/>
      <c r="N1608" s="206"/>
    </row>
    <row r="1609" spans="1:14" s="6" customFormat="1" ht="15" customHeight="1" x14ac:dyDescent="0.25">
      <c r="A1609" s="32"/>
      <c r="B1609" s="314"/>
      <c r="C1609" s="383"/>
      <c r="D1609" s="384"/>
      <c r="E1609" s="331"/>
      <c r="F1609" s="316"/>
      <c r="G1609" s="331"/>
      <c r="H1609" s="316"/>
      <c r="I1609" s="331"/>
      <c r="J1609" s="316"/>
      <c r="K1609" s="331"/>
      <c r="L1609" s="316"/>
      <c r="M1609" s="7"/>
      <c r="N1609" s="206"/>
    </row>
    <row r="1610" spans="1:14" s="6" customFormat="1" ht="15" customHeight="1" x14ac:dyDescent="0.25">
      <c r="A1610" s="32"/>
      <c r="B1610" s="314"/>
      <c r="C1610" s="317"/>
      <c r="D1610" s="316"/>
      <c r="E1610" s="331"/>
      <c r="F1610" s="316"/>
      <c r="G1610" s="331"/>
      <c r="H1610" s="316"/>
      <c r="I1610" s="331"/>
      <c r="J1610" s="316"/>
      <c r="K1610" s="331"/>
      <c r="L1610" s="379"/>
      <c r="M1610" s="7"/>
      <c r="N1610" s="206"/>
    </row>
    <row r="1611" spans="1:14" s="6" customFormat="1" ht="15" customHeight="1" x14ac:dyDescent="0.25">
      <c r="A1611" s="32"/>
      <c r="B1611" s="314"/>
      <c r="C1611" s="317"/>
      <c r="D1611" s="316"/>
      <c r="E1611" s="331"/>
      <c r="F1611" s="316"/>
      <c r="G1611" s="331"/>
      <c r="H1611" s="316"/>
      <c r="I1611" s="331"/>
      <c r="J1611" s="316"/>
      <c r="K1611" s="331"/>
      <c r="L1611" s="316"/>
      <c r="M1611" s="7"/>
      <c r="N1611" s="206"/>
    </row>
    <row r="1612" spans="1:14" s="6" customFormat="1" ht="15" customHeight="1" x14ac:dyDescent="0.25">
      <c r="A1612" s="32"/>
      <c r="B1612" s="314"/>
      <c r="C1612" s="318"/>
      <c r="D1612" s="319"/>
      <c r="E1612" s="380"/>
      <c r="F1612" s="319"/>
      <c r="G1612" s="381"/>
      <c r="H1612" s="382"/>
      <c r="I1612" s="380"/>
      <c r="J1612" s="319"/>
      <c r="K1612" s="380"/>
      <c r="L1612" s="319"/>
      <c r="M1612" s="7"/>
      <c r="N1612" s="206"/>
    </row>
    <row r="1613" spans="1:14" s="6" customFormat="1" ht="15" customHeight="1" x14ac:dyDescent="0.25">
      <c r="A1613" s="32"/>
      <c r="B1613" s="314"/>
      <c r="C1613" s="210">
        <f>K1606+3</f>
        <v>43311</v>
      </c>
      <c r="D1613" s="225"/>
      <c r="E1613" s="213">
        <f>C1613+1</f>
        <v>43312</v>
      </c>
      <c r="F1613" s="222"/>
      <c r="G1613" s="213">
        <f>E1613+1</f>
        <v>43313</v>
      </c>
      <c r="H1613" s="222"/>
      <c r="I1613" s="213">
        <f>G1613+1</f>
        <v>43314</v>
      </c>
      <c r="J1613" s="222"/>
      <c r="K1613" s="213">
        <f>I1613+1</f>
        <v>43315</v>
      </c>
      <c r="L1613" s="222"/>
      <c r="M1613" s="7"/>
      <c r="N1613" s="206"/>
    </row>
    <row r="1614" spans="1:14" s="6" customFormat="1" ht="15" customHeight="1" x14ac:dyDescent="0.25">
      <c r="A1614" s="32"/>
      <c r="B1614" s="314"/>
      <c r="C1614" s="317"/>
      <c r="D1614" s="316"/>
      <c r="E1614" s="331"/>
      <c r="F1614" s="316"/>
      <c r="G1614" s="331"/>
      <c r="H1614" s="316"/>
      <c r="I1614" s="331"/>
      <c r="J1614" s="316"/>
      <c r="K1614" s="331"/>
      <c r="L1614" s="316"/>
      <c r="M1614" s="7"/>
      <c r="N1614" s="206"/>
    </row>
    <row r="1615" spans="1:14" s="6" customFormat="1" ht="15" customHeight="1" x14ac:dyDescent="0.25">
      <c r="A1615" s="32"/>
      <c r="B1615" s="314"/>
      <c r="C1615" s="317"/>
      <c r="D1615" s="316"/>
      <c r="E1615" s="331"/>
      <c r="F1615" s="316"/>
      <c r="G1615" s="331"/>
      <c r="H1615" s="316"/>
      <c r="I1615" s="331"/>
      <c r="J1615" s="316"/>
      <c r="K1615" s="331"/>
      <c r="L1615" s="316"/>
      <c r="M1615" s="7"/>
      <c r="N1615" s="206"/>
    </row>
    <row r="1616" spans="1:14" s="6" customFormat="1" ht="15" customHeight="1" x14ac:dyDescent="0.25">
      <c r="A1616" s="32"/>
      <c r="B1616" s="314"/>
      <c r="C1616" s="383"/>
      <c r="D1616" s="384"/>
      <c r="E1616" s="331"/>
      <c r="F1616" s="316"/>
      <c r="G1616" s="331"/>
      <c r="H1616" s="316"/>
      <c r="I1616" s="331"/>
      <c r="J1616" s="316"/>
      <c r="K1616" s="331"/>
      <c r="L1616" s="316"/>
      <c r="M1616" s="7"/>
      <c r="N1616" s="206"/>
    </row>
    <row r="1617" spans="1:14" s="6" customFormat="1" ht="15" customHeight="1" x14ac:dyDescent="0.25">
      <c r="A1617" s="32"/>
      <c r="B1617" s="314"/>
      <c r="C1617" s="317"/>
      <c r="D1617" s="316"/>
      <c r="E1617" s="331"/>
      <c r="F1617" s="316"/>
      <c r="G1617" s="331"/>
      <c r="H1617" s="316"/>
      <c r="I1617" s="331"/>
      <c r="J1617" s="316"/>
      <c r="K1617" s="331"/>
      <c r="L1617" s="316"/>
      <c r="M1617" s="7"/>
      <c r="N1617" s="206"/>
    </row>
    <row r="1618" spans="1:14" s="6" customFormat="1" ht="15" customHeight="1" x14ac:dyDescent="0.25">
      <c r="A1618" s="32"/>
      <c r="B1618" s="314"/>
      <c r="C1618" s="317"/>
      <c r="D1618" s="316"/>
      <c r="E1618" s="331"/>
      <c r="F1618" s="316"/>
      <c r="G1618" s="331"/>
      <c r="H1618" s="316"/>
      <c r="I1618" s="331"/>
      <c r="J1618" s="316"/>
      <c r="K1618" s="331"/>
      <c r="L1618" s="316"/>
      <c r="M1618" s="7"/>
      <c r="N1618" s="206"/>
    </row>
    <row r="1619" spans="1:14" s="6" customFormat="1" ht="15" customHeight="1" x14ac:dyDescent="0.25">
      <c r="A1619" s="32"/>
      <c r="B1619" s="315"/>
      <c r="C1619" s="318"/>
      <c r="D1619" s="319"/>
      <c r="E1619" s="380"/>
      <c r="F1619" s="319"/>
      <c r="G1619" s="381"/>
      <c r="H1619" s="382"/>
      <c r="I1619" s="380"/>
      <c r="J1619" s="319"/>
      <c r="K1619" s="331"/>
      <c r="L1619" s="316"/>
      <c r="M1619" s="7"/>
      <c r="N1619" s="206"/>
    </row>
    <row r="1620" spans="1:14" s="6" customFormat="1" ht="15" customHeight="1" x14ac:dyDescent="0.25">
      <c r="A1620" s="32"/>
      <c r="B1620" s="329"/>
      <c r="C1620" s="210">
        <f>K1613+3</f>
        <v>43318</v>
      </c>
      <c r="D1620" s="222"/>
      <c r="E1620" s="213">
        <f>C1620+1</f>
        <v>43319</v>
      </c>
      <c r="F1620" s="222"/>
      <c r="G1620" s="213">
        <f>E1620+1</f>
        <v>43320</v>
      </c>
      <c r="H1620" s="222"/>
      <c r="I1620" s="213">
        <f>G1620+1</f>
        <v>43321</v>
      </c>
      <c r="J1620" s="222"/>
      <c r="K1620" s="213">
        <f>I1620+1</f>
        <v>43322</v>
      </c>
      <c r="L1620" s="225"/>
      <c r="M1620" s="7"/>
      <c r="N1620" s="206"/>
    </row>
    <row r="1621" spans="1:14" s="6" customFormat="1" ht="15" customHeight="1" x14ac:dyDescent="0.25">
      <c r="A1621" s="32"/>
      <c r="B1621" s="329"/>
      <c r="C1621" s="317"/>
      <c r="D1621" s="316"/>
      <c r="E1621" s="331"/>
      <c r="F1621" s="316"/>
      <c r="G1621" s="331"/>
      <c r="H1621" s="316"/>
      <c r="I1621" s="331"/>
      <c r="J1621" s="316"/>
      <c r="K1621" s="331"/>
      <c r="L1621" s="316"/>
      <c r="M1621" s="7"/>
      <c r="N1621" s="206"/>
    </row>
    <row r="1622" spans="1:14" s="6" customFormat="1" ht="15" customHeight="1" x14ac:dyDescent="0.25">
      <c r="A1622" s="32"/>
      <c r="B1622" s="329"/>
      <c r="C1622" s="317"/>
      <c r="D1622" s="316"/>
      <c r="E1622" s="331"/>
      <c r="F1622" s="316"/>
      <c r="G1622" s="331"/>
      <c r="H1622" s="316"/>
      <c r="I1622" s="331"/>
      <c r="J1622" s="316"/>
      <c r="K1622" s="331"/>
      <c r="L1622" s="316"/>
      <c r="M1622" s="7"/>
      <c r="N1622" s="206"/>
    </row>
    <row r="1623" spans="1:14" s="6" customFormat="1" ht="15" customHeight="1" x14ac:dyDescent="0.25">
      <c r="A1623" s="32"/>
      <c r="B1623" s="329"/>
      <c r="C1623" s="383"/>
      <c r="D1623" s="384"/>
      <c r="E1623" s="331"/>
      <c r="F1623" s="316"/>
      <c r="G1623" s="331"/>
      <c r="H1623" s="316"/>
      <c r="I1623" s="331"/>
      <c r="J1623" s="316"/>
      <c r="K1623" s="331"/>
      <c r="L1623" s="316"/>
      <c r="M1623" s="7"/>
      <c r="N1623" s="206"/>
    </row>
    <row r="1624" spans="1:14" s="6" customFormat="1" ht="15" customHeight="1" x14ac:dyDescent="0.25">
      <c r="A1624" s="32"/>
      <c r="B1624" s="329"/>
      <c r="C1624" s="317"/>
      <c r="D1624" s="316"/>
      <c r="E1624" s="331"/>
      <c r="F1624" s="316"/>
      <c r="G1624" s="331"/>
      <c r="H1624" s="316"/>
      <c r="I1624" s="331"/>
      <c r="J1624" s="316"/>
      <c r="K1624" s="331"/>
      <c r="L1624" s="316"/>
      <c r="M1624" s="7"/>
      <c r="N1624" s="206"/>
    </row>
    <row r="1625" spans="1:14" s="6" customFormat="1" ht="15" customHeight="1" x14ac:dyDescent="0.25">
      <c r="A1625" s="32"/>
      <c r="B1625" s="329"/>
      <c r="C1625" s="317"/>
      <c r="D1625" s="316"/>
      <c r="E1625" s="331"/>
      <c r="F1625" s="316"/>
      <c r="G1625" s="331"/>
      <c r="H1625" s="316"/>
      <c r="I1625" s="331"/>
      <c r="J1625" s="316"/>
      <c r="K1625" s="331"/>
      <c r="L1625" s="316"/>
      <c r="M1625" s="7"/>
      <c r="N1625" s="206"/>
    </row>
    <row r="1626" spans="1:14" s="6" customFormat="1" ht="15" customHeight="1" x14ac:dyDescent="0.25">
      <c r="A1626" s="32"/>
      <c r="B1626" s="329"/>
      <c r="C1626" s="318"/>
      <c r="D1626" s="319"/>
      <c r="E1626" s="380"/>
      <c r="F1626" s="319"/>
      <c r="G1626" s="381"/>
      <c r="H1626" s="382"/>
      <c r="I1626" s="380"/>
      <c r="J1626" s="319"/>
      <c r="K1626" s="380"/>
      <c r="L1626" s="319"/>
      <c r="M1626" s="7"/>
      <c r="N1626" s="206"/>
    </row>
    <row r="1627" spans="1:14" s="6" customFormat="1" ht="15" customHeight="1" x14ac:dyDescent="0.25">
      <c r="A1627" s="32"/>
      <c r="B1627" s="329"/>
      <c r="C1627" s="210">
        <f>K1620+3</f>
        <v>43325</v>
      </c>
      <c r="D1627" s="222"/>
      <c r="E1627" s="213">
        <f>C1627+1</f>
        <v>43326</v>
      </c>
      <c r="F1627" s="292"/>
      <c r="G1627" s="213">
        <f>E1627+1</f>
        <v>43327</v>
      </c>
      <c r="H1627" s="222"/>
      <c r="I1627" s="213">
        <f>G1627+1</f>
        <v>43328</v>
      </c>
      <c r="J1627" s="222"/>
      <c r="K1627" s="213">
        <f>I1627+1</f>
        <v>43329</v>
      </c>
      <c r="L1627" s="222"/>
      <c r="M1627" s="7"/>
      <c r="N1627" s="206"/>
    </row>
    <row r="1628" spans="1:14" s="6" customFormat="1" ht="15" customHeight="1" x14ac:dyDescent="0.25">
      <c r="A1628" s="32"/>
      <c r="B1628" s="329"/>
      <c r="C1628" s="317"/>
      <c r="D1628" s="316"/>
      <c r="E1628" s="331"/>
      <c r="F1628" s="316"/>
      <c r="G1628" s="331"/>
      <c r="H1628" s="316"/>
      <c r="I1628" s="331"/>
      <c r="J1628" s="316"/>
      <c r="K1628" s="331"/>
      <c r="L1628" s="316"/>
      <c r="M1628" s="7"/>
      <c r="N1628" s="206"/>
    </row>
    <row r="1629" spans="1:14" s="6" customFormat="1" ht="15" customHeight="1" x14ac:dyDescent="0.25">
      <c r="A1629" s="32"/>
      <c r="B1629" s="329"/>
      <c r="C1629" s="533"/>
      <c r="D1629" s="328"/>
      <c r="E1629" s="331"/>
      <c r="F1629" s="316"/>
      <c r="G1629" s="331"/>
      <c r="H1629" s="316"/>
      <c r="I1629" s="331"/>
      <c r="J1629" s="316"/>
      <c r="K1629" s="331"/>
      <c r="L1629" s="316"/>
      <c r="M1629" s="7"/>
      <c r="N1629" s="206"/>
    </row>
    <row r="1630" spans="1:14" s="6" customFormat="1" ht="15" customHeight="1" x14ac:dyDescent="0.25">
      <c r="A1630" s="32"/>
      <c r="B1630" s="329"/>
      <c r="C1630" s="534" t="s">
        <v>168</v>
      </c>
      <c r="D1630" s="385"/>
      <c r="E1630" s="331"/>
      <c r="F1630" s="316"/>
      <c r="G1630" s="331"/>
      <c r="H1630" s="316"/>
      <c r="I1630" s="331"/>
      <c r="J1630" s="316"/>
      <c r="K1630" s="331"/>
      <c r="L1630" s="316"/>
      <c r="M1630" s="7"/>
      <c r="N1630" s="206"/>
    </row>
    <row r="1631" spans="1:14" s="6" customFormat="1" ht="15" customHeight="1" x14ac:dyDescent="0.25">
      <c r="A1631" s="32"/>
      <c r="B1631" s="329"/>
      <c r="C1631" s="534" t="s">
        <v>168</v>
      </c>
      <c r="D1631" s="328"/>
      <c r="E1631" s="331"/>
      <c r="F1631" s="316"/>
      <c r="G1631" s="331"/>
      <c r="H1631" s="316"/>
      <c r="I1631" s="331"/>
      <c r="J1631" s="316"/>
      <c r="K1631" s="331"/>
      <c r="L1631" s="316"/>
      <c r="M1631" s="7"/>
      <c r="N1631" s="206"/>
    </row>
    <row r="1632" spans="1:14" s="6" customFormat="1" ht="15" customHeight="1" x14ac:dyDescent="0.25">
      <c r="A1632" s="32"/>
      <c r="B1632" s="329"/>
      <c r="C1632" s="317"/>
      <c r="D1632" s="316"/>
      <c r="E1632" s="331"/>
      <c r="F1632" s="316"/>
      <c r="G1632" s="331"/>
      <c r="H1632" s="316"/>
      <c r="I1632" s="331"/>
      <c r="J1632" s="316"/>
      <c r="K1632" s="331"/>
      <c r="L1632" s="316"/>
      <c r="M1632" s="7"/>
      <c r="N1632" s="206"/>
    </row>
    <row r="1633" spans="1:14" s="6" customFormat="1" ht="15" customHeight="1" x14ac:dyDescent="0.25">
      <c r="A1633" s="32"/>
      <c r="B1633" s="329"/>
      <c r="C1633" s="318"/>
      <c r="D1633" s="319"/>
      <c r="E1633" s="380"/>
      <c r="F1633" s="319"/>
      <c r="G1633" s="381"/>
      <c r="H1633" s="382"/>
      <c r="I1633" s="380"/>
      <c r="J1633" s="319"/>
      <c r="K1633" s="331"/>
      <c r="L1633" s="316"/>
      <c r="M1633" s="7"/>
      <c r="N1633" s="206"/>
    </row>
    <row r="1634" spans="1:14" s="6" customFormat="1" ht="15" customHeight="1" x14ac:dyDescent="0.25">
      <c r="A1634" s="32"/>
      <c r="B1634" s="342">
        <v>43313</v>
      </c>
      <c r="C1634" s="210">
        <f>K1627+3</f>
        <v>43332</v>
      </c>
      <c r="D1634" s="222"/>
      <c r="E1634" s="213">
        <f>C1634+1</f>
        <v>43333</v>
      </c>
      <c r="F1634" s="222"/>
      <c r="G1634" s="213">
        <f>E1634+1</f>
        <v>43334</v>
      </c>
      <c r="H1634" s="222"/>
      <c r="I1634" s="213">
        <f>G1634+1</f>
        <v>43335</v>
      </c>
      <c r="J1634" s="222"/>
      <c r="K1634" s="213">
        <f>I1634+1</f>
        <v>43336</v>
      </c>
      <c r="L1634" s="222"/>
      <c r="M1634" s="7"/>
      <c r="N1634" s="206"/>
    </row>
    <row r="1635" spans="1:14" s="6" customFormat="1" ht="15" customHeight="1" x14ac:dyDescent="0.25">
      <c r="A1635" s="32"/>
      <c r="B1635" s="342"/>
      <c r="C1635" s="317"/>
      <c r="D1635" s="316"/>
      <c r="E1635" s="331"/>
      <c r="F1635" s="316"/>
      <c r="G1635" s="331"/>
      <c r="H1635" s="316"/>
      <c r="I1635" s="331"/>
      <c r="J1635" s="316"/>
      <c r="K1635" s="331"/>
      <c r="L1635" s="316"/>
      <c r="M1635" s="7"/>
      <c r="N1635" s="206"/>
    </row>
    <row r="1636" spans="1:14" s="6" customFormat="1" ht="15" customHeight="1" x14ac:dyDescent="0.25">
      <c r="A1636" s="32"/>
      <c r="B1636" s="342"/>
      <c r="C1636" s="317"/>
      <c r="D1636" s="316"/>
      <c r="E1636" s="331"/>
      <c r="F1636" s="316"/>
      <c r="G1636" s="331"/>
      <c r="H1636" s="316"/>
      <c r="I1636" s="331"/>
      <c r="J1636" s="316"/>
      <c r="K1636" s="331"/>
      <c r="L1636" s="316"/>
      <c r="M1636" s="7"/>
      <c r="N1636" s="206"/>
    </row>
    <row r="1637" spans="1:14" s="6" customFormat="1" ht="15" customHeight="1" x14ac:dyDescent="0.25">
      <c r="A1637" s="32"/>
      <c r="B1637" s="342"/>
      <c r="C1637" s="383"/>
      <c r="D1637" s="384"/>
      <c r="E1637" s="331"/>
      <c r="F1637" s="316"/>
      <c r="G1637" s="331"/>
      <c r="H1637" s="316"/>
      <c r="I1637" s="331"/>
      <c r="J1637" s="316"/>
      <c r="K1637" s="331"/>
      <c r="L1637" s="316"/>
      <c r="M1637" s="7"/>
      <c r="N1637" s="206"/>
    </row>
    <row r="1638" spans="1:14" s="6" customFormat="1" ht="15" customHeight="1" x14ac:dyDescent="0.25">
      <c r="A1638" s="32"/>
      <c r="B1638" s="342"/>
      <c r="C1638" s="317"/>
      <c r="D1638" s="316"/>
      <c r="E1638" s="331"/>
      <c r="F1638" s="316"/>
      <c r="G1638" s="331"/>
      <c r="H1638" s="316"/>
      <c r="I1638" s="331"/>
      <c r="J1638" s="316"/>
      <c r="K1638" s="331"/>
      <c r="L1638" s="379"/>
      <c r="M1638" s="7"/>
      <c r="N1638" s="206"/>
    </row>
    <row r="1639" spans="1:14" s="6" customFormat="1" ht="15" customHeight="1" x14ac:dyDescent="0.25">
      <c r="A1639" s="32"/>
      <c r="B1639" s="342"/>
      <c r="C1639" s="317"/>
      <c r="D1639" s="316"/>
      <c r="E1639" s="331"/>
      <c r="F1639" s="316"/>
      <c r="G1639" s="331"/>
      <c r="H1639" s="316"/>
      <c r="I1639" s="331"/>
      <c r="J1639" s="316"/>
      <c r="K1639" s="331"/>
      <c r="L1639" s="316"/>
      <c r="M1639" s="7"/>
      <c r="N1639" s="206"/>
    </row>
    <row r="1640" spans="1:14" s="6" customFormat="1" ht="15" customHeight="1" x14ac:dyDescent="0.25">
      <c r="A1640" s="32"/>
      <c r="B1640" s="342"/>
      <c r="C1640" s="318"/>
      <c r="D1640" s="319"/>
      <c r="E1640" s="380"/>
      <c r="F1640" s="319"/>
      <c r="G1640" s="381" t="s">
        <v>14</v>
      </c>
      <c r="H1640" s="382"/>
      <c r="I1640" s="380"/>
      <c r="J1640" s="319"/>
      <c r="K1640" s="331"/>
      <c r="L1640" s="316"/>
      <c r="M1640" s="7"/>
      <c r="N1640" s="206"/>
    </row>
    <row r="1641" spans="1:14" s="6" customFormat="1" ht="15" customHeight="1" x14ac:dyDescent="0.25">
      <c r="A1641" s="32"/>
      <c r="B1641" s="342"/>
      <c r="C1641" s="234">
        <f>K1634+3</f>
        <v>43339</v>
      </c>
      <c r="D1641" s="235"/>
      <c r="E1641" s="236">
        <f>C1641+1</f>
        <v>43340</v>
      </c>
      <c r="F1641" s="235"/>
      <c r="G1641" s="236">
        <f>E1641+1</f>
        <v>43341</v>
      </c>
      <c r="H1641" s="235"/>
      <c r="I1641" s="236">
        <f>G1641+1</f>
        <v>43342</v>
      </c>
      <c r="J1641" s="235"/>
      <c r="K1641" s="236">
        <f>I1641+1</f>
        <v>43343</v>
      </c>
      <c r="L1641" s="237"/>
      <c r="M1641" s="7"/>
      <c r="N1641" s="206"/>
    </row>
    <row r="1642" spans="1:14" s="6" customFormat="1" ht="15" customHeight="1" x14ac:dyDescent="0.25">
      <c r="A1642" s="32"/>
      <c r="B1642" s="342"/>
      <c r="C1642" s="352"/>
      <c r="D1642" s="353"/>
      <c r="E1642" s="372"/>
      <c r="F1642" s="353"/>
      <c r="G1642" s="372"/>
      <c r="H1642" s="353"/>
      <c r="I1642" s="372"/>
      <c r="J1642" s="353"/>
      <c r="K1642" s="372"/>
      <c r="L1642" s="353"/>
      <c r="M1642" s="7"/>
      <c r="N1642" s="206"/>
    </row>
    <row r="1643" spans="1:14" s="6" customFormat="1" ht="15" customHeight="1" x14ac:dyDescent="0.25">
      <c r="A1643" s="32"/>
      <c r="B1643" s="342"/>
      <c r="C1643" s="352"/>
      <c r="D1643" s="353"/>
      <c r="E1643" s="372"/>
      <c r="F1643" s="353"/>
      <c r="G1643" s="372"/>
      <c r="H1643" s="353"/>
      <c r="I1643" s="372"/>
      <c r="J1643" s="353"/>
      <c r="K1643" s="372"/>
      <c r="L1643" s="353"/>
      <c r="M1643" s="7"/>
      <c r="N1643" s="206"/>
    </row>
    <row r="1644" spans="1:14" s="6" customFormat="1" ht="15" customHeight="1" x14ac:dyDescent="0.25">
      <c r="A1644" s="32"/>
      <c r="B1644" s="342"/>
      <c r="C1644" s="376" t="s">
        <v>168</v>
      </c>
      <c r="D1644" s="377"/>
      <c r="E1644" s="372"/>
      <c r="F1644" s="353"/>
      <c r="G1644" s="372"/>
      <c r="H1644" s="353"/>
      <c r="I1644" s="372"/>
      <c r="J1644" s="353"/>
      <c r="K1644" s="372"/>
      <c r="L1644" s="353"/>
      <c r="M1644" s="7"/>
      <c r="N1644" s="206"/>
    </row>
    <row r="1645" spans="1:14" s="6" customFormat="1" ht="15" customHeight="1" x14ac:dyDescent="0.25">
      <c r="A1645" s="32"/>
      <c r="B1645" s="342"/>
      <c r="C1645" s="352"/>
      <c r="D1645" s="353"/>
      <c r="E1645" s="372"/>
      <c r="F1645" s="353"/>
      <c r="G1645" s="372"/>
      <c r="H1645" s="353"/>
      <c r="I1645" s="372"/>
      <c r="J1645" s="353"/>
      <c r="K1645" s="372"/>
      <c r="L1645" s="353"/>
      <c r="M1645" s="7"/>
      <c r="N1645" s="206"/>
    </row>
    <row r="1646" spans="1:14" s="6" customFormat="1" ht="15" customHeight="1" x14ac:dyDescent="0.25">
      <c r="A1646" s="32"/>
      <c r="B1646" s="342"/>
      <c r="C1646" s="352"/>
      <c r="D1646" s="353"/>
      <c r="E1646" s="372"/>
      <c r="F1646" s="353"/>
      <c r="G1646" s="372"/>
      <c r="H1646" s="353"/>
      <c r="I1646" s="372"/>
      <c r="J1646" s="353"/>
      <c r="K1646" s="372"/>
      <c r="L1646" s="353"/>
      <c r="M1646" s="7"/>
      <c r="N1646" s="206"/>
    </row>
    <row r="1647" spans="1:14" s="6" customFormat="1" ht="15" customHeight="1" x14ac:dyDescent="0.25">
      <c r="A1647" s="32"/>
      <c r="B1647" s="343"/>
      <c r="C1647" s="373"/>
      <c r="D1647" s="374"/>
      <c r="E1647" s="375"/>
      <c r="F1647" s="374"/>
      <c r="G1647" s="375"/>
      <c r="H1647" s="374"/>
      <c r="I1647" s="375"/>
      <c r="J1647" s="374"/>
      <c r="K1647" s="372"/>
      <c r="L1647" s="353"/>
      <c r="M1647" s="7"/>
      <c r="N1647" s="206"/>
    </row>
    <row r="1648" spans="1:14" s="6" customFormat="1" ht="15" customHeight="1" x14ac:dyDescent="0.25">
      <c r="A1648" s="32"/>
      <c r="B1648" s="351"/>
      <c r="C1648" s="234">
        <f>K1641+3</f>
        <v>43346</v>
      </c>
      <c r="D1648" s="235"/>
      <c r="E1648" s="236">
        <f>C1648+1</f>
        <v>43347</v>
      </c>
      <c r="F1648" s="235"/>
      <c r="G1648" s="236">
        <f>E1648+1</f>
        <v>43348</v>
      </c>
      <c r="H1648" s="235"/>
      <c r="I1648" s="236">
        <f>G1648+1</f>
        <v>43349</v>
      </c>
      <c r="J1648" s="235"/>
      <c r="K1648" s="236">
        <f>I1648+1</f>
        <v>43350</v>
      </c>
      <c r="L1648" s="238"/>
      <c r="M1648" s="7"/>
      <c r="N1648" s="206"/>
    </row>
    <row r="1649" spans="1:14" s="6" customFormat="1" ht="15" customHeight="1" x14ac:dyDescent="0.25">
      <c r="A1649" s="32"/>
      <c r="B1649" s="351"/>
      <c r="C1649" s="352"/>
      <c r="D1649" s="353"/>
      <c r="E1649" s="372"/>
      <c r="F1649" s="353"/>
      <c r="G1649" s="372"/>
      <c r="H1649" s="353"/>
      <c r="I1649" s="372"/>
      <c r="J1649" s="353"/>
      <c r="K1649" s="372"/>
      <c r="L1649" s="353"/>
      <c r="M1649" s="7"/>
      <c r="N1649" s="206"/>
    </row>
    <row r="1650" spans="1:14" s="6" customFormat="1" ht="15" customHeight="1" x14ac:dyDescent="0.25">
      <c r="A1650" s="32"/>
      <c r="B1650" s="351"/>
      <c r="C1650" s="352"/>
      <c r="D1650" s="353"/>
      <c r="E1650" s="372"/>
      <c r="F1650" s="353"/>
      <c r="G1650" s="372"/>
      <c r="H1650" s="353"/>
      <c r="I1650" s="372"/>
      <c r="J1650" s="353"/>
      <c r="K1650" s="372"/>
      <c r="L1650" s="353"/>
      <c r="M1650" s="7"/>
      <c r="N1650" s="206"/>
    </row>
    <row r="1651" spans="1:14" s="6" customFormat="1" ht="15" customHeight="1" x14ac:dyDescent="0.25">
      <c r="A1651" s="32"/>
      <c r="B1651" s="351"/>
      <c r="C1651" s="376" t="s">
        <v>168</v>
      </c>
      <c r="D1651" s="377"/>
      <c r="E1651" s="372"/>
      <c r="F1651" s="353"/>
      <c r="G1651" s="372"/>
      <c r="H1651" s="353"/>
      <c r="I1651" s="372"/>
      <c r="J1651" s="353"/>
      <c r="K1651" s="372"/>
      <c r="L1651" s="353"/>
      <c r="M1651" s="7"/>
      <c r="N1651" s="206"/>
    </row>
    <row r="1652" spans="1:14" s="6" customFormat="1" ht="15" customHeight="1" x14ac:dyDescent="0.25">
      <c r="A1652" s="32"/>
      <c r="B1652" s="351"/>
      <c r="C1652" s="352"/>
      <c r="D1652" s="353"/>
      <c r="E1652" s="372"/>
      <c r="F1652" s="353"/>
      <c r="G1652" s="372"/>
      <c r="H1652" s="353"/>
      <c r="I1652" s="372"/>
      <c r="J1652" s="353"/>
      <c r="K1652" s="372"/>
      <c r="L1652" s="353"/>
      <c r="M1652" s="7"/>
      <c r="N1652" s="206"/>
    </row>
    <row r="1653" spans="1:14" s="6" customFormat="1" ht="15" customHeight="1" x14ac:dyDescent="0.25">
      <c r="A1653" s="32"/>
      <c r="B1653" s="351"/>
      <c r="C1653" s="352"/>
      <c r="D1653" s="353"/>
      <c r="E1653" s="372"/>
      <c r="F1653" s="353"/>
      <c r="G1653" s="372"/>
      <c r="H1653" s="353"/>
      <c r="I1653" s="372"/>
      <c r="J1653" s="353"/>
      <c r="K1653" s="372"/>
      <c r="L1653" s="353"/>
      <c r="M1653" s="7"/>
      <c r="N1653" s="206"/>
    </row>
    <row r="1654" spans="1:14" s="6" customFormat="1" ht="15" customHeight="1" x14ac:dyDescent="0.25">
      <c r="A1654" s="32"/>
      <c r="B1654" s="351"/>
      <c r="C1654" s="373"/>
      <c r="D1654" s="374"/>
      <c r="E1654" s="375"/>
      <c r="F1654" s="374"/>
      <c r="G1654" s="375"/>
      <c r="H1654" s="374"/>
      <c r="I1654" s="375"/>
      <c r="J1654" s="374"/>
      <c r="K1654" s="372"/>
      <c r="L1654" s="353"/>
      <c r="M1654" s="7"/>
      <c r="N1654" s="206"/>
    </row>
    <row r="1655" spans="1:14" s="6" customFormat="1" ht="15" customHeight="1" x14ac:dyDescent="0.25">
      <c r="A1655" s="32"/>
      <c r="B1655" s="351"/>
      <c r="C1655" s="239">
        <f>K1648+3</f>
        <v>43353</v>
      </c>
      <c r="D1655" s="240"/>
      <c r="E1655" s="241">
        <f>C1655+1</f>
        <v>43354</v>
      </c>
      <c r="F1655" s="240"/>
      <c r="G1655" s="241">
        <f>E1655+1</f>
        <v>43355</v>
      </c>
      <c r="H1655" s="240"/>
      <c r="I1655" s="241">
        <f>G1655+1</f>
        <v>43356</v>
      </c>
      <c r="J1655" s="240"/>
      <c r="K1655" s="241">
        <f>I1655+1</f>
        <v>43357</v>
      </c>
      <c r="L1655" s="240"/>
      <c r="M1655" s="7"/>
      <c r="N1655" s="206"/>
    </row>
    <row r="1656" spans="1:14" s="6" customFormat="1" ht="15" customHeight="1" x14ac:dyDescent="0.25">
      <c r="A1656" s="32"/>
      <c r="B1656" s="351"/>
      <c r="C1656" s="358"/>
      <c r="D1656" s="359"/>
      <c r="E1656" s="360"/>
      <c r="F1656" s="359"/>
      <c r="G1656" s="360"/>
      <c r="H1656" s="359"/>
      <c r="I1656" s="360"/>
      <c r="J1656" s="359"/>
      <c r="K1656" s="360"/>
      <c r="L1656" s="359"/>
      <c r="M1656" s="7"/>
      <c r="N1656" s="206"/>
    </row>
    <row r="1657" spans="1:14" s="6" customFormat="1" ht="15" customHeight="1" x14ac:dyDescent="0.25">
      <c r="A1657" s="32"/>
      <c r="B1657" s="351"/>
      <c r="C1657" s="358"/>
      <c r="D1657" s="359"/>
      <c r="E1657" s="360"/>
      <c r="F1657" s="359"/>
      <c r="G1657" s="360"/>
      <c r="H1657" s="359"/>
      <c r="I1657" s="360"/>
      <c r="J1657" s="359"/>
      <c r="K1657" s="360"/>
      <c r="L1657" s="359"/>
      <c r="M1657" s="7"/>
      <c r="N1657" s="206"/>
    </row>
    <row r="1658" spans="1:14" s="6" customFormat="1" ht="15" customHeight="1" x14ac:dyDescent="0.25">
      <c r="A1658" s="32"/>
      <c r="B1658" s="351"/>
      <c r="C1658" s="368"/>
      <c r="D1658" s="369"/>
      <c r="E1658" s="360"/>
      <c r="F1658" s="359"/>
      <c r="G1658" s="360"/>
      <c r="H1658" s="359"/>
      <c r="I1658" s="360"/>
      <c r="J1658" s="359"/>
      <c r="K1658" s="360"/>
      <c r="L1658" s="359"/>
      <c r="M1658" s="7"/>
      <c r="N1658" s="206"/>
    </row>
    <row r="1659" spans="1:14" s="6" customFormat="1" ht="15" customHeight="1" x14ac:dyDescent="0.25">
      <c r="A1659" s="32"/>
      <c r="B1659" s="351"/>
      <c r="C1659" s="358"/>
      <c r="D1659" s="359"/>
      <c r="E1659" s="360"/>
      <c r="F1659" s="359"/>
      <c r="G1659" s="360"/>
      <c r="H1659" s="359"/>
      <c r="I1659" s="360"/>
      <c r="J1659" s="359"/>
      <c r="K1659" s="360"/>
      <c r="L1659" s="359"/>
      <c r="M1659" s="7"/>
      <c r="N1659" s="206"/>
    </row>
    <row r="1660" spans="1:14" s="6" customFormat="1" ht="15" customHeight="1" x14ac:dyDescent="0.25">
      <c r="A1660" s="32"/>
      <c r="B1660" s="351"/>
      <c r="C1660" s="358"/>
      <c r="D1660" s="359"/>
      <c r="E1660" s="360"/>
      <c r="F1660" s="359"/>
      <c r="G1660" s="360"/>
      <c r="H1660" s="359"/>
      <c r="I1660" s="360"/>
      <c r="J1660" s="359"/>
      <c r="K1660" s="360"/>
      <c r="L1660" s="359"/>
      <c r="M1660" s="7"/>
      <c r="N1660" s="206"/>
    </row>
    <row r="1661" spans="1:14" s="6" customFormat="1" ht="15" customHeight="1" x14ac:dyDescent="0.25">
      <c r="A1661" s="32"/>
      <c r="B1661" s="351"/>
      <c r="C1661" s="367"/>
      <c r="D1661" s="366"/>
      <c r="E1661" s="365"/>
      <c r="F1661" s="366"/>
      <c r="G1661" s="365"/>
      <c r="H1661" s="366"/>
      <c r="I1661" s="365"/>
      <c r="J1661" s="366"/>
      <c r="K1661" s="360"/>
      <c r="L1661" s="359"/>
      <c r="M1661" s="7"/>
      <c r="N1661" s="206"/>
    </row>
    <row r="1662" spans="1:14" s="6" customFormat="1" ht="15" customHeight="1" x14ac:dyDescent="0.25">
      <c r="A1662" s="32"/>
      <c r="B1662" s="344">
        <v>43344</v>
      </c>
      <c r="C1662" s="239">
        <f>K1655+3</f>
        <v>43360</v>
      </c>
      <c r="D1662" s="240"/>
      <c r="E1662" s="241">
        <f>C1662+1</f>
        <v>43361</v>
      </c>
      <c r="F1662" s="240"/>
      <c r="G1662" s="241">
        <f>E1662+1</f>
        <v>43362</v>
      </c>
      <c r="H1662" s="240"/>
      <c r="I1662" s="241">
        <f>G1662+1</f>
        <v>43363</v>
      </c>
      <c r="J1662" s="240"/>
      <c r="K1662" s="241">
        <f>I1662+1</f>
        <v>43364</v>
      </c>
      <c r="L1662" s="240"/>
      <c r="M1662" s="7"/>
      <c r="N1662" s="206"/>
    </row>
    <row r="1663" spans="1:14" s="6" customFormat="1" ht="15" customHeight="1" x14ac:dyDescent="0.25">
      <c r="A1663" s="32"/>
      <c r="B1663" s="344"/>
      <c r="C1663" s="358"/>
      <c r="D1663" s="359"/>
      <c r="E1663" s="360"/>
      <c r="F1663" s="359"/>
      <c r="G1663" s="360"/>
      <c r="H1663" s="359"/>
      <c r="I1663" s="360"/>
      <c r="J1663" s="359"/>
      <c r="K1663" s="360"/>
      <c r="L1663" s="359"/>
      <c r="M1663" s="7"/>
      <c r="N1663" s="206"/>
    </row>
    <row r="1664" spans="1:14" s="6" customFormat="1" ht="15" customHeight="1" x14ac:dyDescent="0.25">
      <c r="A1664" s="32"/>
      <c r="B1664" s="344"/>
      <c r="C1664" s="358"/>
      <c r="D1664" s="359"/>
      <c r="E1664" s="360"/>
      <c r="F1664" s="359"/>
      <c r="G1664" s="360"/>
      <c r="H1664" s="359"/>
      <c r="I1664" s="360"/>
      <c r="J1664" s="359"/>
      <c r="K1664" s="360"/>
      <c r="L1664" s="359"/>
      <c r="M1664" s="7"/>
      <c r="N1664" s="206"/>
    </row>
    <row r="1665" spans="1:14" s="6" customFormat="1" ht="15" customHeight="1" x14ac:dyDescent="0.25">
      <c r="A1665" s="32"/>
      <c r="B1665" s="344"/>
      <c r="C1665" s="368"/>
      <c r="D1665" s="369"/>
      <c r="E1665" s="360"/>
      <c r="F1665" s="359"/>
      <c r="G1665" s="360"/>
      <c r="H1665" s="359"/>
      <c r="I1665" s="360"/>
      <c r="J1665" s="359"/>
      <c r="K1665" s="360"/>
      <c r="L1665" s="359"/>
      <c r="M1665" s="7"/>
      <c r="N1665" s="206"/>
    </row>
    <row r="1666" spans="1:14" s="6" customFormat="1" ht="15" customHeight="1" x14ac:dyDescent="0.25">
      <c r="A1666" s="32"/>
      <c r="B1666" s="344"/>
      <c r="C1666" s="358"/>
      <c r="D1666" s="359"/>
      <c r="E1666" s="360"/>
      <c r="F1666" s="359"/>
      <c r="G1666" s="360"/>
      <c r="H1666" s="359"/>
      <c r="I1666" s="360"/>
      <c r="J1666" s="359"/>
      <c r="K1666" s="360"/>
      <c r="L1666" s="359"/>
      <c r="M1666" s="7"/>
      <c r="N1666" s="206"/>
    </row>
    <row r="1667" spans="1:14" s="6" customFormat="1" ht="15" customHeight="1" x14ac:dyDescent="0.25">
      <c r="A1667" s="32"/>
      <c r="B1667" s="344"/>
      <c r="C1667" s="358"/>
      <c r="D1667" s="359"/>
      <c r="E1667" s="360"/>
      <c r="F1667" s="359"/>
      <c r="G1667" s="360"/>
      <c r="H1667" s="359"/>
      <c r="I1667" s="360"/>
      <c r="J1667" s="359"/>
      <c r="K1667" s="360"/>
      <c r="L1667" s="359"/>
      <c r="M1667" s="7"/>
      <c r="N1667" s="206"/>
    </row>
    <row r="1668" spans="1:14" s="6" customFormat="1" ht="15" customHeight="1" x14ac:dyDescent="0.25">
      <c r="A1668" s="32"/>
      <c r="B1668" s="344"/>
      <c r="C1668" s="367"/>
      <c r="D1668" s="366"/>
      <c r="E1668" s="365"/>
      <c r="F1668" s="366"/>
      <c r="G1668" s="365"/>
      <c r="H1668" s="366"/>
      <c r="I1668" s="365"/>
      <c r="J1668" s="366"/>
      <c r="K1668" s="360"/>
      <c r="L1668" s="359"/>
      <c r="M1668" s="7"/>
      <c r="N1668" s="206"/>
    </row>
    <row r="1669" spans="1:14" s="6" customFormat="1" ht="15" customHeight="1" x14ac:dyDescent="0.25">
      <c r="A1669" s="32"/>
      <c r="B1669" s="344"/>
      <c r="C1669" s="239">
        <f>K1662+3</f>
        <v>43367</v>
      </c>
      <c r="D1669" s="240"/>
      <c r="E1669" s="241">
        <f>C1669+1</f>
        <v>43368</v>
      </c>
      <c r="F1669" s="240"/>
      <c r="G1669" s="241">
        <f>E1669+1</f>
        <v>43369</v>
      </c>
      <c r="H1669" s="240"/>
      <c r="I1669" s="241">
        <f>G1669+1</f>
        <v>43370</v>
      </c>
      <c r="J1669" s="240"/>
      <c r="K1669" s="241">
        <f>I1669+1</f>
        <v>43371</v>
      </c>
      <c r="L1669" s="242"/>
      <c r="M1669" s="7"/>
      <c r="N1669" s="206"/>
    </row>
    <row r="1670" spans="1:14" s="6" customFormat="1" ht="15" customHeight="1" x14ac:dyDescent="0.25">
      <c r="A1670" s="32"/>
      <c r="B1670" s="344"/>
      <c r="C1670" s="358"/>
      <c r="D1670" s="359"/>
      <c r="E1670" s="360"/>
      <c r="F1670" s="359"/>
      <c r="G1670" s="360"/>
      <c r="H1670" s="359"/>
      <c r="I1670" s="360"/>
      <c r="J1670" s="359"/>
      <c r="K1670" s="360"/>
      <c r="L1670" s="359"/>
      <c r="M1670" s="7"/>
      <c r="N1670" s="206"/>
    </row>
    <row r="1671" spans="1:14" s="6" customFormat="1" ht="15" customHeight="1" x14ac:dyDescent="0.25">
      <c r="A1671" s="32"/>
      <c r="B1671" s="344"/>
      <c r="C1671" s="358"/>
      <c r="D1671" s="359"/>
      <c r="E1671" s="360"/>
      <c r="F1671" s="359"/>
      <c r="G1671" s="360"/>
      <c r="H1671" s="359"/>
      <c r="I1671" s="360"/>
      <c r="J1671" s="359"/>
      <c r="K1671" s="360"/>
      <c r="L1671" s="359"/>
      <c r="M1671" s="7"/>
      <c r="N1671" s="206"/>
    </row>
    <row r="1672" spans="1:14" s="6" customFormat="1" ht="15" customHeight="1" x14ac:dyDescent="0.25">
      <c r="A1672" s="32"/>
      <c r="B1672" s="344"/>
      <c r="C1672" s="368"/>
      <c r="D1672" s="369"/>
      <c r="E1672" s="360"/>
      <c r="F1672" s="359"/>
      <c r="G1672" s="370"/>
      <c r="H1672" s="371"/>
      <c r="I1672" s="360"/>
      <c r="J1672" s="359"/>
      <c r="K1672" s="360"/>
      <c r="L1672" s="359"/>
      <c r="M1672" s="7"/>
      <c r="N1672" s="206"/>
    </row>
    <row r="1673" spans="1:14" s="6" customFormat="1" ht="15" customHeight="1" x14ac:dyDescent="0.25">
      <c r="A1673" s="32"/>
      <c r="B1673" s="344"/>
      <c r="C1673" s="358"/>
      <c r="D1673" s="359"/>
      <c r="E1673" s="360"/>
      <c r="F1673" s="359"/>
      <c r="G1673" s="360"/>
      <c r="H1673" s="359"/>
      <c r="I1673" s="360"/>
      <c r="J1673" s="359"/>
      <c r="K1673" s="360"/>
      <c r="L1673" s="359"/>
      <c r="M1673" s="7"/>
      <c r="N1673" s="206"/>
    </row>
    <row r="1674" spans="1:14" s="6" customFormat="1" ht="15" customHeight="1" x14ac:dyDescent="0.25">
      <c r="A1674" s="32"/>
      <c r="B1674" s="344"/>
      <c r="C1674" s="358"/>
      <c r="D1674" s="359"/>
      <c r="E1674" s="360"/>
      <c r="F1674" s="359"/>
      <c r="G1674" s="360"/>
      <c r="H1674" s="359"/>
      <c r="I1674" s="360"/>
      <c r="J1674" s="359"/>
      <c r="K1674" s="360"/>
      <c r="L1674" s="359"/>
      <c r="M1674" s="7"/>
      <c r="N1674" s="206"/>
    </row>
    <row r="1675" spans="1:14" s="6" customFormat="1" ht="15" customHeight="1" x14ac:dyDescent="0.25">
      <c r="A1675" s="32"/>
      <c r="B1675" s="345"/>
      <c r="C1675" s="367"/>
      <c r="D1675" s="366"/>
      <c r="E1675" s="365"/>
      <c r="F1675" s="366"/>
      <c r="G1675" s="365"/>
      <c r="H1675" s="366"/>
      <c r="I1675" s="365"/>
      <c r="J1675" s="366"/>
      <c r="K1675" s="360"/>
      <c r="L1675" s="359"/>
      <c r="M1675" s="7"/>
      <c r="N1675" s="206"/>
    </row>
    <row r="1676" spans="1:14" s="6" customFormat="1" ht="15" customHeight="1" x14ac:dyDescent="0.25">
      <c r="A1676" s="32"/>
      <c r="B1676" s="346"/>
      <c r="C1676" s="243">
        <f>K1669+3</f>
        <v>43374</v>
      </c>
      <c r="D1676" s="244"/>
      <c r="E1676" s="245">
        <f>C1676+1</f>
        <v>43375</v>
      </c>
      <c r="F1676" s="244"/>
      <c r="G1676" s="245">
        <f>E1676+1</f>
        <v>43376</v>
      </c>
      <c r="H1676" s="244"/>
      <c r="I1676" s="245">
        <f>G1676+1</f>
        <v>43377</v>
      </c>
      <c r="J1676" s="244"/>
      <c r="K1676" s="245">
        <f>I1676+1</f>
        <v>43378</v>
      </c>
      <c r="L1676" s="244"/>
      <c r="M1676" s="7"/>
      <c r="N1676" s="206"/>
    </row>
    <row r="1677" spans="1:14" s="6" customFormat="1" ht="15" customHeight="1" x14ac:dyDescent="0.25">
      <c r="A1677" s="32"/>
      <c r="B1677" s="346"/>
      <c r="C1677" s="336"/>
      <c r="D1677" s="337"/>
      <c r="E1677" s="357"/>
      <c r="F1677" s="337"/>
      <c r="G1677" s="357"/>
      <c r="H1677" s="337"/>
      <c r="I1677" s="357"/>
      <c r="J1677" s="337"/>
      <c r="K1677" s="357"/>
      <c r="L1677" s="337"/>
      <c r="M1677" s="7"/>
      <c r="N1677" s="206"/>
    </row>
    <row r="1678" spans="1:14" s="6" customFormat="1" ht="15" customHeight="1" x14ac:dyDescent="0.25">
      <c r="A1678" s="32"/>
      <c r="B1678" s="346"/>
      <c r="C1678" s="336"/>
      <c r="D1678" s="337"/>
      <c r="E1678" s="357"/>
      <c r="F1678" s="337"/>
      <c r="G1678" s="357"/>
      <c r="H1678" s="337"/>
      <c r="I1678" s="357"/>
      <c r="J1678" s="337"/>
      <c r="K1678" s="357"/>
      <c r="L1678" s="337"/>
      <c r="M1678" s="7"/>
      <c r="N1678" s="206"/>
    </row>
    <row r="1679" spans="1:14" s="6" customFormat="1" ht="15" customHeight="1" x14ac:dyDescent="0.25">
      <c r="A1679" s="32"/>
      <c r="B1679" s="346"/>
      <c r="C1679" s="363"/>
      <c r="D1679" s="364"/>
      <c r="E1679" s="357"/>
      <c r="F1679" s="337"/>
      <c r="G1679" s="357"/>
      <c r="H1679" s="337"/>
      <c r="I1679" s="357"/>
      <c r="J1679" s="337"/>
      <c r="K1679" s="357"/>
      <c r="L1679" s="337"/>
      <c r="M1679" s="7"/>
      <c r="N1679" s="206"/>
    </row>
    <row r="1680" spans="1:14" s="6" customFormat="1" ht="15" customHeight="1" x14ac:dyDescent="0.25">
      <c r="A1680" s="32"/>
      <c r="B1680" s="346"/>
      <c r="C1680" s="336"/>
      <c r="D1680" s="337"/>
      <c r="E1680" s="357"/>
      <c r="F1680" s="337"/>
      <c r="G1680" s="357"/>
      <c r="H1680" s="337"/>
      <c r="I1680" s="357"/>
      <c r="J1680" s="337"/>
      <c r="K1680" s="357"/>
      <c r="L1680" s="337"/>
      <c r="M1680" s="7"/>
      <c r="N1680" s="206"/>
    </row>
    <row r="1681" spans="1:14" s="6" customFormat="1" ht="15" customHeight="1" x14ac:dyDescent="0.25">
      <c r="A1681" s="32"/>
      <c r="B1681" s="346"/>
      <c r="C1681" s="336"/>
      <c r="D1681" s="337"/>
      <c r="E1681" s="357"/>
      <c r="F1681" s="337"/>
      <c r="G1681" s="357"/>
      <c r="H1681" s="337"/>
      <c r="I1681" s="357"/>
      <c r="J1681" s="337"/>
      <c r="K1681" s="357"/>
      <c r="L1681" s="337"/>
      <c r="M1681" s="7"/>
      <c r="N1681" s="206"/>
    </row>
    <row r="1682" spans="1:14" s="6" customFormat="1" ht="15" customHeight="1" x14ac:dyDescent="0.25">
      <c r="A1682" s="32"/>
      <c r="B1682" s="346"/>
      <c r="C1682" s="338"/>
      <c r="D1682" s="339"/>
      <c r="E1682" s="362"/>
      <c r="F1682" s="339"/>
      <c r="G1682" s="362"/>
      <c r="H1682" s="339"/>
      <c r="I1682" s="362"/>
      <c r="J1682" s="339"/>
      <c r="K1682" s="357"/>
      <c r="L1682" s="337"/>
      <c r="M1682" s="7"/>
      <c r="N1682" s="206"/>
    </row>
    <row r="1683" spans="1:14" s="6" customFormat="1" ht="15" customHeight="1" x14ac:dyDescent="0.25">
      <c r="A1683" s="32"/>
      <c r="B1683" s="346"/>
      <c r="C1683" s="243">
        <f>K1676+3</f>
        <v>43381</v>
      </c>
      <c r="D1683" s="244"/>
      <c r="E1683" s="245">
        <f>C1683+1</f>
        <v>43382</v>
      </c>
      <c r="F1683" s="244"/>
      <c r="G1683" s="245">
        <f>E1683+1</f>
        <v>43383</v>
      </c>
      <c r="H1683" s="244"/>
      <c r="I1683" s="245">
        <f>G1683+1</f>
        <v>43384</v>
      </c>
      <c r="J1683" s="244"/>
      <c r="K1683" s="245">
        <f>I1683+1</f>
        <v>43385</v>
      </c>
      <c r="L1683" s="244"/>
      <c r="M1683" s="7"/>
      <c r="N1683" s="206"/>
    </row>
    <row r="1684" spans="1:14" s="6" customFormat="1" ht="15" customHeight="1" x14ac:dyDescent="0.25">
      <c r="A1684" s="32"/>
      <c r="B1684" s="346"/>
      <c r="C1684" s="336"/>
      <c r="D1684" s="337"/>
      <c r="E1684" s="357"/>
      <c r="F1684" s="337"/>
      <c r="G1684" s="357"/>
      <c r="H1684" s="337"/>
      <c r="I1684" s="357"/>
      <c r="J1684" s="337"/>
      <c r="K1684" s="357"/>
      <c r="L1684" s="337"/>
      <c r="M1684" s="7"/>
      <c r="N1684" s="206"/>
    </row>
    <row r="1685" spans="1:14" s="6" customFormat="1" ht="15" customHeight="1" x14ac:dyDescent="0.25">
      <c r="A1685" s="32"/>
      <c r="B1685" s="346"/>
      <c r="C1685" s="336"/>
      <c r="D1685" s="337"/>
      <c r="E1685" s="357"/>
      <c r="F1685" s="337"/>
      <c r="G1685" s="357"/>
      <c r="H1685" s="337"/>
      <c r="I1685" s="357"/>
      <c r="J1685" s="337"/>
      <c r="K1685" s="357"/>
      <c r="L1685" s="337"/>
      <c r="M1685" s="7"/>
      <c r="N1685" s="206"/>
    </row>
    <row r="1686" spans="1:14" s="6" customFormat="1" ht="15" customHeight="1" x14ac:dyDescent="0.25">
      <c r="A1686" s="32"/>
      <c r="B1686" s="346"/>
      <c r="C1686" s="363"/>
      <c r="D1686" s="364"/>
      <c r="E1686" s="357"/>
      <c r="F1686" s="337"/>
      <c r="G1686" s="357"/>
      <c r="H1686" s="337"/>
      <c r="I1686" s="357"/>
      <c r="J1686" s="337"/>
      <c r="K1686" s="357"/>
      <c r="L1686" s="337"/>
      <c r="M1686" s="7"/>
      <c r="N1686" s="206"/>
    </row>
    <row r="1687" spans="1:14" s="6" customFormat="1" ht="15" customHeight="1" x14ac:dyDescent="0.25">
      <c r="A1687" s="32"/>
      <c r="B1687" s="346"/>
      <c r="C1687" s="336"/>
      <c r="D1687" s="337"/>
      <c r="E1687" s="357"/>
      <c r="F1687" s="337"/>
      <c r="G1687" s="357"/>
      <c r="H1687" s="337"/>
      <c r="I1687" s="357"/>
      <c r="J1687" s="337"/>
      <c r="K1687" s="357"/>
      <c r="L1687" s="337"/>
      <c r="M1687" s="7"/>
      <c r="N1687" s="206"/>
    </row>
    <row r="1688" spans="1:14" s="6" customFormat="1" ht="15" customHeight="1" x14ac:dyDescent="0.25">
      <c r="A1688" s="32"/>
      <c r="B1688" s="346"/>
      <c r="C1688" s="336"/>
      <c r="D1688" s="337"/>
      <c r="E1688" s="357"/>
      <c r="F1688" s="337"/>
      <c r="G1688" s="357"/>
      <c r="H1688" s="337"/>
      <c r="I1688" s="357"/>
      <c r="J1688" s="337"/>
      <c r="K1688" s="357"/>
      <c r="L1688" s="337"/>
      <c r="M1688" s="7"/>
      <c r="N1688" s="206"/>
    </row>
    <row r="1689" spans="1:14" s="6" customFormat="1" ht="15" customHeight="1" x14ac:dyDescent="0.25">
      <c r="A1689" s="32"/>
      <c r="B1689" s="346"/>
      <c r="C1689" s="338"/>
      <c r="D1689" s="339"/>
      <c r="E1689" s="362"/>
      <c r="F1689" s="339"/>
      <c r="G1689" s="362"/>
      <c r="H1689" s="339"/>
      <c r="I1689" s="362"/>
      <c r="J1689" s="339"/>
      <c r="K1689" s="357"/>
      <c r="L1689" s="337"/>
      <c r="M1689" s="7"/>
      <c r="N1689" s="206"/>
    </row>
    <row r="1690" spans="1:14" s="6" customFormat="1" ht="15" customHeight="1" x14ac:dyDescent="0.25">
      <c r="A1690" s="32"/>
      <c r="B1690" s="346"/>
      <c r="C1690" s="243">
        <f>K1683+3</f>
        <v>43388</v>
      </c>
      <c r="D1690" s="244"/>
      <c r="E1690" s="245">
        <f>C1690+1</f>
        <v>43389</v>
      </c>
      <c r="F1690" s="244"/>
      <c r="G1690" s="245">
        <f>E1690+1</f>
        <v>43390</v>
      </c>
      <c r="H1690" s="244"/>
      <c r="I1690" s="245">
        <f>G1690+1</f>
        <v>43391</v>
      </c>
      <c r="J1690" s="244"/>
      <c r="K1690" s="245">
        <f>I1690+1</f>
        <v>43392</v>
      </c>
      <c r="L1690" s="244"/>
      <c r="M1690" s="7"/>
      <c r="N1690" s="206"/>
    </row>
    <row r="1691" spans="1:14" s="6" customFormat="1" ht="15" customHeight="1" x14ac:dyDescent="0.25">
      <c r="A1691" s="32"/>
      <c r="B1691" s="346"/>
      <c r="C1691" s="336"/>
      <c r="D1691" s="337"/>
      <c r="E1691" s="357"/>
      <c r="F1691" s="337"/>
      <c r="G1691" s="357"/>
      <c r="H1691" s="337"/>
      <c r="I1691" s="357"/>
      <c r="J1691" s="337"/>
      <c r="K1691" s="357"/>
      <c r="L1691" s="337"/>
      <c r="M1691" s="7"/>
      <c r="N1691" s="206"/>
    </row>
    <row r="1692" spans="1:14" s="6" customFormat="1" ht="15" customHeight="1" x14ac:dyDescent="0.25">
      <c r="A1692" s="32"/>
      <c r="B1692" s="346"/>
      <c r="C1692" s="336"/>
      <c r="D1692" s="337"/>
      <c r="E1692" s="357"/>
      <c r="F1692" s="337"/>
      <c r="G1692" s="357"/>
      <c r="H1692" s="337"/>
      <c r="I1692" s="357"/>
      <c r="J1692" s="337"/>
      <c r="K1692" s="357"/>
      <c r="L1692" s="337"/>
      <c r="M1692" s="7"/>
      <c r="N1692" s="206"/>
    </row>
    <row r="1693" spans="1:14" s="6" customFormat="1" ht="15" customHeight="1" x14ac:dyDescent="0.25">
      <c r="A1693" s="32"/>
      <c r="B1693" s="346"/>
      <c r="C1693" s="363"/>
      <c r="D1693" s="364"/>
      <c r="E1693" s="357"/>
      <c r="F1693" s="337"/>
      <c r="G1693" s="357"/>
      <c r="H1693" s="337"/>
      <c r="I1693" s="357"/>
      <c r="J1693" s="337"/>
      <c r="K1693" s="357"/>
      <c r="L1693" s="337"/>
      <c r="M1693" s="7"/>
      <c r="N1693" s="206"/>
    </row>
    <row r="1694" spans="1:14" s="6" customFormat="1" ht="15" customHeight="1" x14ac:dyDescent="0.25">
      <c r="A1694" s="32"/>
      <c r="B1694" s="346"/>
      <c r="C1694" s="336"/>
      <c r="D1694" s="337"/>
      <c r="E1694" s="357"/>
      <c r="F1694" s="337"/>
      <c r="G1694" s="357"/>
      <c r="H1694" s="337"/>
      <c r="I1694" s="357"/>
      <c r="J1694" s="337"/>
      <c r="K1694" s="357"/>
      <c r="L1694" s="337"/>
      <c r="M1694" s="7"/>
      <c r="N1694" s="206"/>
    </row>
    <row r="1695" spans="1:14" s="6" customFormat="1" ht="15" customHeight="1" x14ac:dyDescent="0.25">
      <c r="A1695" s="32"/>
      <c r="B1695" s="346"/>
      <c r="C1695" s="336"/>
      <c r="D1695" s="337"/>
      <c r="E1695" s="357"/>
      <c r="F1695" s="337"/>
      <c r="G1695" s="357"/>
      <c r="H1695" s="337"/>
      <c r="I1695" s="357"/>
      <c r="J1695" s="337"/>
      <c r="K1695" s="357"/>
      <c r="L1695" s="337"/>
      <c r="M1695" s="7"/>
      <c r="N1695" s="206"/>
    </row>
    <row r="1696" spans="1:14" s="6" customFormat="1" ht="15" customHeight="1" x14ac:dyDescent="0.25">
      <c r="A1696" s="32"/>
      <c r="B1696" s="346"/>
      <c r="C1696" s="338"/>
      <c r="D1696" s="339"/>
      <c r="E1696" s="362"/>
      <c r="F1696" s="339"/>
      <c r="G1696" s="362"/>
      <c r="H1696" s="339"/>
      <c r="I1696" s="362"/>
      <c r="J1696" s="339"/>
      <c r="K1696" s="357"/>
      <c r="L1696" s="337"/>
      <c r="M1696" s="7"/>
      <c r="N1696" s="206"/>
    </row>
    <row r="1697" spans="1:14" s="6" customFormat="1" ht="15" customHeight="1" x14ac:dyDescent="0.25">
      <c r="A1697" s="32"/>
      <c r="B1697" s="346">
        <v>43374</v>
      </c>
      <c r="C1697" s="243">
        <f>K1690+3</f>
        <v>43395</v>
      </c>
      <c r="D1697" s="244"/>
      <c r="E1697" s="245">
        <f>C1697+1</f>
        <v>43396</v>
      </c>
      <c r="F1697" s="244"/>
      <c r="G1697" s="245">
        <f>E1697+1</f>
        <v>43397</v>
      </c>
      <c r="H1697" s="244"/>
      <c r="I1697" s="245">
        <f>G1697+1</f>
        <v>43398</v>
      </c>
      <c r="J1697" s="244"/>
      <c r="K1697" s="245">
        <f>I1697+1</f>
        <v>43399</v>
      </c>
      <c r="L1697" s="244"/>
      <c r="M1697" s="7"/>
      <c r="N1697" s="206"/>
    </row>
    <row r="1698" spans="1:14" s="6" customFormat="1" ht="15" customHeight="1" x14ac:dyDescent="0.25">
      <c r="A1698" s="32"/>
      <c r="B1698" s="346"/>
      <c r="C1698" s="336"/>
      <c r="D1698" s="337"/>
      <c r="E1698" s="357"/>
      <c r="F1698" s="337"/>
      <c r="G1698" s="357"/>
      <c r="H1698" s="337"/>
      <c r="I1698" s="357"/>
      <c r="J1698" s="337"/>
      <c r="K1698" s="357"/>
      <c r="L1698" s="337"/>
      <c r="M1698" s="7"/>
      <c r="N1698" s="206"/>
    </row>
    <row r="1699" spans="1:14" s="6" customFormat="1" ht="15" customHeight="1" x14ac:dyDescent="0.25">
      <c r="A1699" s="32"/>
      <c r="B1699" s="346"/>
      <c r="C1699" s="336"/>
      <c r="D1699" s="337"/>
      <c r="E1699" s="357"/>
      <c r="F1699" s="337"/>
      <c r="G1699" s="357"/>
      <c r="H1699" s="337"/>
      <c r="I1699" s="357"/>
      <c r="J1699" s="337"/>
      <c r="K1699" s="357"/>
      <c r="L1699" s="337"/>
      <c r="M1699" s="7"/>
      <c r="N1699" s="206"/>
    </row>
    <row r="1700" spans="1:14" s="6" customFormat="1" ht="15" customHeight="1" x14ac:dyDescent="0.25">
      <c r="A1700" s="32"/>
      <c r="B1700" s="346"/>
      <c r="C1700" s="363"/>
      <c r="D1700" s="364"/>
      <c r="E1700" s="357"/>
      <c r="F1700" s="337"/>
      <c r="G1700" s="357"/>
      <c r="H1700" s="337"/>
      <c r="I1700" s="357"/>
      <c r="J1700" s="337"/>
      <c r="K1700" s="357"/>
      <c r="L1700" s="337"/>
      <c r="M1700" s="7"/>
      <c r="N1700" s="206"/>
    </row>
    <row r="1701" spans="1:14" s="6" customFormat="1" ht="15" customHeight="1" x14ac:dyDescent="0.25">
      <c r="A1701" s="32"/>
      <c r="B1701" s="346"/>
      <c r="C1701" s="336"/>
      <c r="D1701" s="337"/>
      <c r="E1701" s="357"/>
      <c r="F1701" s="337"/>
      <c r="G1701" s="357"/>
      <c r="H1701" s="337"/>
      <c r="I1701" s="357"/>
      <c r="J1701" s="337"/>
      <c r="K1701" s="357"/>
      <c r="L1701" s="337"/>
      <c r="M1701" s="7"/>
      <c r="N1701" s="206"/>
    </row>
    <row r="1702" spans="1:14" s="6" customFormat="1" ht="15" customHeight="1" x14ac:dyDescent="0.25">
      <c r="A1702" s="32"/>
      <c r="B1702" s="346"/>
      <c r="C1702" s="336"/>
      <c r="D1702" s="337"/>
      <c r="E1702" s="357"/>
      <c r="F1702" s="337"/>
      <c r="G1702" s="357"/>
      <c r="H1702" s="337"/>
      <c r="I1702" s="357"/>
      <c r="J1702" s="337"/>
      <c r="K1702" s="357"/>
      <c r="L1702" s="337"/>
      <c r="M1702" s="7"/>
      <c r="N1702" s="206"/>
    </row>
    <row r="1703" spans="1:14" s="6" customFormat="1" ht="15" customHeight="1" x14ac:dyDescent="0.25">
      <c r="A1703" s="32"/>
      <c r="B1703" s="346"/>
      <c r="C1703" s="338"/>
      <c r="D1703" s="339"/>
      <c r="E1703" s="362"/>
      <c r="F1703" s="339"/>
      <c r="G1703" s="362"/>
      <c r="H1703" s="339"/>
      <c r="I1703" s="362"/>
      <c r="J1703" s="339"/>
      <c r="K1703" s="357"/>
      <c r="L1703" s="337"/>
      <c r="M1703" s="7"/>
      <c r="N1703" s="206"/>
    </row>
    <row r="1704" spans="1:14" s="6" customFormat="1" ht="15" customHeight="1" x14ac:dyDescent="0.25">
      <c r="A1704" s="32"/>
      <c r="B1704" s="346"/>
      <c r="C1704" s="243">
        <f>K1697+3</f>
        <v>43402</v>
      </c>
      <c r="D1704" s="244"/>
      <c r="E1704" s="245">
        <f>C1704+1</f>
        <v>43403</v>
      </c>
      <c r="F1704" s="244"/>
      <c r="G1704" s="245">
        <f>E1704+1</f>
        <v>43404</v>
      </c>
      <c r="H1704" s="244"/>
      <c r="I1704" s="246">
        <f>G1704+1</f>
        <v>43405</v>
      </c>
      <c r="J1704" s="247"/>
      <c r="K1704" s="246">
        <f>I1704+1</f>
        <v>43406</v>
      </c>
      <c r="L1704" s="247"/>
      <c r="M1704" s="7"/>
      <c r="N1704" s="206"/>
    </row>
    <row r="1705" spans="1:14" s="6" customFormat="1" ht="15" customHeight="1" x14ac:dyDescent="0.25">
      <c r="A1705" s="32"/>
      <c r="B1705" s="346"/>
      <c r="C1705" s="336"/>
      <c r="D1705" s="337"/>
      <c r="E1705" s="357"/>
      <c r="F1705" s="337"/>
      <c r="G1705" s="357"/>
      <c r="H1705" s="337"/>
      <c r="I1705" s="356"/>
      <c r="J1705" s="325"/>
      <c r="K1705" s="356"/>
      <c r="L1705" s="325"/>
      <c r="M1705" s="7"/>
      <c r="N1705" s="206"/>
    </row>
    <row r="1706" spans="1:14" s="6" customFormat="1" ht="15" customHeight="1" x14ac:dyDescent="0.25">
      <c r="A1706" s="32"/>
      <c r="B1706" s="346"/>
      <c r="C1706" s="336"/>
      <c r="D1706" s="337"/>
      <c r="E1706" s="357"/>
      <c r="F1706" s="337"/>
      <c r="G1706" s="357"/>
      <c r="H1706" s="337"/>
      <c r="I1706" s="356"/>
      <c r="J1706" s="325"/>
      <c r="K1706" s="356"/>
      <c r="L1706" s="325"/>
      <c r="M1706" s="7"/>
      <c r="N1706" s="206"/>
    </row>
    <row r="1707" spans="1:14" s="6" customFormat="1" ht="15" customHeight="1" x14ac:dyDescent="0.25">
      <c r="A1707" s="32"/>
      <c r="B1707" s="346"/>
      <c r="C1707" s="363"/>
      <c r="D1707" s="364"/>
      <c r="E1707" s="357"/>
      <c r="F1707" s="337"/>
      <c r="G1707" s="357"/>
      <c r="H1707" s="337"/>
      <c r="I1707" s="356"/>
      <c r="J1707" s="325"/>
      <c r="K1707" s="356"/>
      <c r="L1707" s="325"/>
      <c r="M1707" s="7"/>
      <c r="N1707" s="206"/>
    </row>
    <row r="1708" spans="1:14" s="6" customFormat="1" ht="15" customHeight="1" x14ac:dyDescent="0.25">
      <c r="A1708" s="32"/>
      <c r="B1708" s="346"/>
      <c r="C1708" s="336"/>
      <c r="D1708" s="337"/>
      <c r="E1708" s="357"/>
      <c r="F1708" s="337"/>
      <c r="G1708" s="357"/>
      <c r="H1708" s="337"/>
      <c r="I1708" s="356"/>
      <c r="J1708" s="325"/>
      <c r="K1708" s="356"/>
      <c r="L1708" s="325"/>
      <c r="M1708" s="7"/>
      <c r="N1708" s="206"/>
    </row>
    <row r="1709" spans="1:14" s="6" customFormat="1" ht="15" customHeight="1" x14ac:dyDescent="0.25">
      <c r="A1709" s="32"/>
      <c r="B1709" s="346"/>
      <c r="C1709" s="336"/>
      <c r="D1709" s="337"/>
      <c r="E1709" s="357"/>
      <c r="F1709" s="337"/>
      <c r="G1709" s="357"/>
      <c r="H1709" s="337"/>
      <c r="I1709" s="356"/>
      <c r="J1709" s="325"/>
      <c r="K1709" s="356"/>
      <c r="L1709" s="325"/>
      <c r="M1709" s="7"/>
      <c r="N1709" s="206"/>
    </row>
    <row r="1710" spans="1:14" s="6" customFormat="1" ht="15" customHeight="1" x14ac:dyDescent="0.25">
      <c r="A1710" s="32"/>
      <c r="B1710" s="347"/>
      <c r="C1710" s="338"/>
      <c r="D1710" s="339"/>
      <c r="E1710" s="362"/>
      <c r="F1710" s="339"/>
      <c r="G1710" s="362"/>
      <c r="H1710" s="339"/>
      <c r="I1710" s="361"/>
      <c r="J1710" s="341"/>
      <c r="K1710" s="356"/>
      <c r="L1710" s="325"/>
      <c r="M1710" s="7"/>
      <c r="N1710" s="206"/>
    </row>
    <row r="1711" spans="1:14" s="6" customFormat="1" ht="15" customHeight="1" x14ac:dyDescent="0.25">
      <c r="A1711" s="32"/>
      <c r="B1711" s="330"/>
      <c r="C1711" s="248">
        <f>K1704+3</f>
        <v>43409</v>
      </c>
      <c r="D1711" s="247"/>
      <c r="E1711" s="246">
        <f>C1711+1</f>
        <v>43410</v>
      </c>
      <c r="F1711" s="247"/>
      <c r="G1711" s="246">
        <f>E1711+1</f>
        <v>43411</v>
      </c>
      <c r="H1711" s="247"/>
      <c r="I1711" s="246">
        <f>G1711+1</f>
        <v>43412</v>
      </c>
      <c r="J1711" s="247"/>
      <c r="K1711" s="246">
        <f>I1711+1</f>
        <v>43413</v>
      </c>
      <c r="L1711" s="247"/>
      <c r="M1711" s="7"/>
      <c r="N1711" s="206"/>
    </row>
    <row r="1712" spans="1:14" s="6" customFormat="1" ht="15" customHeight="1" x14ac:dyDescent="0.25">
      <c r="A1712" s="32"/>
      <c r="B1712" s="330"/>
      <c r="C1712" s="324"/>
      <c r="D1712" s="325"/>
      <c r="E1712" s="356"/>
      <c r="F1712" s="325"/>
      <c r="G1712" s="356"/>
      <c r="H1712" s="325"/>
      <c r="I1712" s="356"/>
      <c r="J1712" s="325"/>
      <c r="K1712" s="356"/>
      <c r="L1712" s="325"/>
      <c r="M1712" s="7"/>
      <c r="N1712" s="206"/>
    </row>
    <row r="1713" spans="1:14" s="6" customFormat="1" ht="15" customHeight="1" x14ac:dyDescent="0.25">
      <c r="A1713" s="32"/>
      <c r="B1713" s="330"/>
      <c r="C1713" s="324"/>
      <c r="D1713" s="325"/>
      <c r="E1713" s="356"/>
      <c r="F1713" s="325"/>
      <c r="G1713" s="356"/>
      <c r="H1713" s="325"/>
      <c r="I1713" s="356"/>
      <c r="J1713" s="325"/>
      <c r="K1713" s="356"/>
      <c r="L1713" s="325"/>
      <c r="M1713" s="7"/>
      <c r="N1713" s="206"/>
    </row>
    <row r="1714" spans="1:14" s="6" customFormat="1" ht="15" customHeight="1" x14ac:dyDescent="0.25">
      <c r="A1714" s="32"/>
      <c r="B1714" s="330"/>
      <c r="C1714" s="326"/>
      <c r="D1714" s="327"/>
      <c r="E1714" s="356"/>
      <c r="F1714" s="325"/>
      <c r="G1714" s="356"/>
      <c r="H1714" s="325"/>
      <c r="I1714" s="356"/>
      <c r="J1714" s="325"/>
      <c r="K1714" s="356"/>
      <c r="L1714" s="325"/>
      <c r="M1714" s="7"/>
      <c r="N1714" s="206"/>
    </row>
    <row r="1715" spans="1:14" s="6" customFormat="1" ht="15" customHeight="1" x14ac:dyDescent="0.25">
      <c r="A1715" s="32"/>
      <c r="B1715" s="330"/>
      <c r="C1715" s="324"/>
      <c r="D1715" s="325"/>
      <c r="E1715" s="356"/>
      <c r="F1715" s="325"/>
      <c r="G1715" s="356"/>
      <c r="H1715" s="325"/>
      <c r="I1715" s="356"/>
      <c r="J1715" s="325"/>
      <c r="K1715" s="356"/>
      <c r="L1715" s="325"/>
      <c r="M1715" s="7"/>
      <c r="N1715" s="206"/>
    </row>
    <row r="1716" spans="1:14" s="6" customFormat="1" ht="15" customHeight="1" x14ac:dyDescent="0.25">
      <c r="A1716" s="32"/>
      <c r="B1716" s="330"/>
      <c r="C1716" s="324"/>
      <c r="D1716" s="325"/>
      <c r="E1716" s="356"/>
      <c r="F1716" s="325"/>
      <c r="G1716" s="356"/>
      <c r="H1716" s="325"/>
      <c r="I1716" s="356"/>
      <c r="J1716" s="325"/>
      <c r="K1716" s="356"/>
      <c r="L1716" s="325"/>
      <c r="M1716" s="7"/>
      <c r="N1716" s="206"/>
    </row>
    <row r="1717" spans="1:14" s="6" customFormat="1" ht="15" customHeight="1" x14ac:dyDescent="0.25">
      <c r="A1717" s="32"/>
      <c r="B1717" s="330"/>
      <c r="C1717" s="340"/>
      <c r="D1717" s="341"/>
      <c r="E1717" s="361"/>
      <c r="F1717" s="341"/>
      <c r="G1717" s="361"/>
      <c r="H1717" s="341"/>
      <c r="I1717" s="361"/>
      <c r="J1717" s="341"/>
      <c r="K1717" s="356"/>
      <c r="L1717" s="325"/>
      <c r="M1717" s="7"/>
      <c r="N1717" s="206"/>
    </row>
    <row r="1718" spans="1:14" s="6" customFormat="1" ht="15" customHeight="1" x14ac:dyDescent="0.25">
      <c r="A1718" s="32"/>
      <c r="B1718" s="330"/>
      <c r="C1718" s="248">
        <f>K1711+3</f>
        <v>43416</v>
      </c>
      <c r="D1718" s="247"/>
      <c r="E1718" s="246">
        <f>C1718+1</f>
        <v>43417</v>
      </c>
      <c r="F1718" s="247"/>
      <c r="G1718" s="246">
        <f>E1718+1</f>
        <v>43418</v>
      </c>
      <c r="H1718" s="247"/>
      <c r="I1718" s="246">
        <f>G1718+1</f>
        <v>43419</v>
      </c>
      <c r="J1718" s="247"/>
      <c r="K1718" s="246">
        <f>I1718+1</f>
        <v>43420</v>
      </c>
      <c r="L1718" s="247"/>
      <c r="M1718" s="7"/>
      <c r="N1718" s="206"/>
    </row>
    <row r="1719" spans="1:14" s="6" customFormat="1" ht="15" customHeight="1" x14ac:dyDescent="0.25">
      <c r="A1719" s="32"/>
      <c r="B1719" s="330"/>
      <c r="C1719" s="324"/>
      <c r="D1719" s="325"/>
      <c r="E1719" s="356"/>
      <c r="F1719" s="325"/>
      <c r="G1719" s="356"/>
      <c r="H1719" s="325"/>
      <c r="I1719" s="356"/>
      <c r="J1719" s="325"/>
      <c r="K1719" s="356"/>
      <c r="L1719" s="325"/>
      <c r="M1719" s="7"/>
      <c r="N1719" s="206"/>
    </row>
    <row r="1720" spans="1:14" s="6" customFormat="1" ht="15" customHeight="1" x14ac:dyDescent="0.25">
      <c r="A1720" s="32"/>
      <c r="B1720" s="330"/>
      <c r="C1720" s="324"/>
      <c r="D1720" s="325"/>
      <c r="E1720" s="356"/>
      <c r="F1720" s="325"/>
      <c r="G1720" s="356"/>
      <c r="H1720" s="325"/>
      <c r="I1720" s="356"/>
      <c r="J1720" s="325"/>
      <c r="K1720" s="356"/>
      <c r="L1720" s="325"/>
      <c r="M1720" s="7"/>
      <c r="N1720" s="206"/>
    </row>
    <row r="1721" spans="1:14" s="6" customFormat="1" ht="15" customHeight="1" x14ac:dyDescent="0.25">
      <c r="A1721" s="32"/>
      <c r="B1721" s="330"/>
      <c r="C1721" s="326"/>
      <c r="D1721" s="327"/>
      <c r="E1721" s="356"/>
      <c r="F1721" s="325"/>
      <c r="G1721" s="356"/>
      <c r="H1721" s="325"/>
      <c r="I1721" s="356"/>
      <c r="J1721" s="325"/>
      <c r="K1721" s="356"/>
      <c r="L1721" s="325"/>
      <c r="M1721" s="7"/>
      <c r="N1721" s="206"/>
    </row>
    <row r="1722" spans="1:14" s="6" customFormat="1" ht="15" customHeight="1" x14ac:dyDescent="0.25">
      <c r="A1722" s="32"/>
      <c r="B1722" s="330"/>
      <c r="C1722" s="324"/>
      <c r="D1722" s="325"/>
      <c r="E1722" s="356"/>
      <c r="F1722" s="325"/>
      <c r="G1722" s="356"/>
      <c r="H1722" s="325"/>
      <c r="I1722" s="356"/>
      <c r="J1722" s="325"/>
      <c r="K1722" s="356"/>
      <c r="L1722" s="325"/>
      <c r="M1722" s="7"/>
      <c r="N1722" s="206"/>
    </row>
    <row r="1723" spans="1:14" s="6" customFormat="1" ht="15" customHeight="1" x14ac:dyDescent="0.25">
      <c r="A1723" s="32"/>
      <c r="B1723" s="330"/>
      <c r="C1723" s="324"/>
      <c r="D1723" s="325"/>
      <c r="E1723" s="356"/>
      <c r="F1723" s="325"/>
      <c r="G1723" s="356"/>
      <c r="H1723" s="325"/>
      <c r="I1723" s="356"/>
      <c r="J1723" s="325"/>
      <c r="K1723" s="356"/>
      <c r="L1723" s="325"/>
      <c r="M1723" s="7"/>
      <c r="N1723" s="206"/>
    </row>
    <row r="1724" spans="1:14" s="6" customFormat="1" ht="15" customHeight="1" x14ac:dyDescent="0.25">
      <c r="A1724" s="32"/>
      <c r="B1724" s="330"/>
      <c r="C1724" s="340"/>
      <c r="D1724" s="341"/>
      <c r="E1724" s="361"/>
      <c r="F1724" s="341"/>
      <c r="G1724" s="361"/>
      <c r="H1724" s="341"/>
      <c r="I1724" s="361"/>
      <c r="J1724" s="341"/>
      <c r="K1724" s="356"/>
      <c r="L1724" s="325"/>
      <c r="M1724" s="7"/>
      <c r="N1724" s="206"/>
    </row>
    <row r="1725" spans="1:14" s="6" customFormat="1" ht="15" customHeight="1" x14ac:dyDescent="0.25">
      <c r="A1725" s="32"/>
      <c r="B1725" s="330">
        <v>43405</v>
      </c>
      <c r="C1725" s="248">
        <f>K1718+3</f>
        <v>43423</v>
      </c>
      <c r="D1725" s="247"/>
      <c r="E1725" s="246">
        <f>C1725+1</f>
        <v>43424</v>
      </c>
      <c r="F1725" s="247"/>
      <c r="G1725" s="246">
        <f>E1725+1</f>
        <v>43425</v>
      </c>
      <c r="H1725" s="247"/>
      <c r="I1725" s="246">
        <f>G1725+1</f>
        <v>43426</v>
      </c>
      <c r="J1725" s="247"/>
      <c r="K1725" s="246">
        <f>I1725+1</f>
        <v>43427</v>
      </c>
      <c r="L1725" s="247"/>
      <c r="M1725" s="7"/>
      <c r="N1725" s="206"/>
    </row>
    <row r="1726" spans="1:14" s="6" customFormat="1" ht="15" customHeight="1" x14ac:dyDescent="0.25">
      <c r="A1726" s="32"/>
      <c r="B1726" s="330"/>
      <c r="C1726" s="324"/>
      <c r="D1726" s="325"/>
      <c r="E1726" s="356"/>
      <c r="F1726" s="325"/>
      <c r="G1726" s="356"/>
      <c r="H1726" s="325"/>
      <c r="I1726" s="356"/>
      <c r="J1726" s="325"/>
      <c r="K1726" s="356"/>
      <c r="L1726" s="325"/>
      <c r="M1726" s="7"/>
      <c r="N1726" s="206"/>
    </row>
    <row r="1727" spans="1:14" s="6" customFormat="1" ht="15" customHeight="1" x14ac:dyDescent="0.25">
      <c r="A1727" s="32"/>
      <c r="B1727" s="330"/>
      <c r="C1727" s="324"/>
      <c r="D1727" s="325"/>
      <c r="E1727" s="356"/>
      <c r="F1727" s="325"/>
      <c r="G1727" s="356"/>
      <c r="H1727" s="325"/>
      <c r="I1727" s="356"/>
      <c r="J1727" s="325"/>
      <c r="K1727" s="356"/>
      <c r="L1727" s="325"/>
      <c r="M1727" s="7"/>
      <c r="N1727" s="206"/>
    </row>
    <row r="1728" spans="1:14" s="6" customFormat="1" ht="15" customHeight="1" x14ac:dyDescent="0.25">
      <c r="A1728" s="32"/>
      <c r="B1728" s="330"/>
      <c r="C1728" s="326"/>
      <c r="D1728" s="327"/>
      <c r="E1728" s="356"/>
      <c r="F1728" s="325"/>
      <c r="G1728" s="356"/>
      <c r="H1728" s="325"/>
      <c r="I1728" s="356"/>
      <c r="J1728" s="325"/>
      <c r="K1728" s="356"/>
      <c r="L1728" s="325"/>
      <c r="M1728" s="7"/>
      <c r="N1728" s="206"/>
    </row>
    <row r="1729" spans="1:14" s="6" customFormat="1" ht="15" customHeight="1" x14ac:dyDescent="0.25">
      <c r="A1729" s="32"/>
      <c r="B1729" s="330"/>
      <c r="C1729" s="324"/>
      <c r="D1729" s="325"/>
      <c r="E1729" s="356"/>
      <c r="F1729" s="325"/>
      <c r="G1729" s="356"/>
      <c r="H1729" s="325"/>
      <c r="I1729" s="356"/>
      <c r="J1729" s="325"/>
      <c r="K1729" s="356"/>
      <c r="L1729" s="325"/>
      <c r="M1729" s="7"/>
      <c r="N1729" s="206"/>
    </row>
    <row r="1730" spans="1:14" s="6" customFormat="1" ht="15" customHeight="1" x14ac:dyDescent="0.25">
      <c r="A1730" s="32"/>
      <c r="B1730" s="330"/>
      <c r="C1730" s="324"/>
      <c r="D1730" s="325"/>
      <c r="E1730" s="356"/>
      <c r="F1730" s="325"/>
      <c r="G1730" s="356"/>
      <c r="H1730" s="325"/>
      <c r="I1730" s="356"/>
      <c r="J1730" s="325"/>
      <c r="K1730" s="356"/>
      <c r="L1730" s="325"/>
      <c r="M1730" s="7"/>
      <c r="N1730" s="206"/>
    </row>
    <row r="1731" spans="1:14" s="6" customFormat="1" ht="15" customHeight="1" x14ac:dyDescent="0.25">
      <c r="A1731" s="32"/>
      <c r="B1731" s="330"/>
      <c r="C1731" s="340"/>
      <c r="D1731" s="341"/>
      <c r="E1731" s="361"/>
      <c r="F1731" s="341"/>
      <c r="G1731" s="361"/>
      <c r="H1731" s="341"/>
      <c r="I1731" s="361"/>
      <c r="J1731" s="341"/>
      <c r="K1731" s="356"/>
      <c r="L1731" s="325"/>
      <c r="M1731" s="7"/>
      <c r="N1731" s="206"/>
    </row>
    <row r="1732" spans="1:14" s="6" customFormat="1" ht="15" customHeight="1" x14ac:dyDescent="0.25">
      <c r="A1732" s="32"/>
      <c r="B1732" s="330"/>
      <c r="C1732" s="248">
        <f>K1725+3</f>
        <v>43430</v>
      </c>
      <c r="D1732" s="247"/>
      <c r="E1732" s="246">
        <f>C1732+1</f>
        <v>43431</v>
      </c>
      <c r="F1732" s="247"/>
      <c r="G1732" s="246">
        <f>E1732+1</f>
        <v>43432</v>
      </c>
      <c r="H1732" s="247"/>
      <c r="I1732" s="246">
        <f>G1732+1</f>
        <v>43433</v>
      </c>
      <c r="J1732" s="247"/>
      <c r="K1732" s="246">
        <f>I1732+1</f>
        <v>43434</v>
      </c>
      <c r="L1732" s="247"/>
      <c r="M1732" s="7"/>
      <c r="N1732" s="206"/>
    </row>
    <row r="1733" spans="1:14" s="6" customFormat="1" ht="15" customHeight="1" x14ac:dyDescent="0.25">
      <c r="A1733" s="32"/>
      <c r="B1733" s="330"/>
      <c r="C1733" s="324"/>
      <c r="D1733" s="325"/>
      <c r="E1733" s="356"/>
      <c r="F1733" s="325"/>
      <c r="G1733" s="356"/>
      <c r="H1733" s="325"/>
      <c r="I1733" s="356"/>
      <c r="J1733" s="325"/>
      <c r="K1733" s="356"/>
      <c r="L1733" s="325"/>
      <c r="M1733" s="7"/>
      <c r="N1733" s="206"/>
    </row>
    <row r="1734" spans="1:14" s="6" customFormat="1" ht="15" customHeight="1" x14ac:dyDescent="0.25">
      <c r="A1734" s="32"/>
      <c r="B1734" s="330"/>
      <c r="C1734" s="324"/>
      <c r="D1734" s="325"/>
      <c r="E1734" s="356"/>
      <c r="F1734" s="325"/>
      <c r="G1734" s="356"/>
      <c r="H1734" s="325"/>
      <c r="I1734" s="356"/>
      <c r="J1734" s="325"/>
      <c r="K1734" s="356"/>
      <c r="L1734" s="325"/>
      <c r="M1734" s="7"/>
      <c r="N1734" s="206"/>
    </row>
    <row r="1735" spans="1:14" s="6" customFormat="1" ht="15" customHeight="1" x14ac:dyDescent="0.25">
      <c r="A1735" s="32"/>
      <c r="B1735" s="330"/>
      <c r="C1735" s="326"/>
      <c r="D1735" s="327"/>
      <c r="E1735" s="356"/>
      <c r="F1735" s="325"/>
      <c r="G1735" s="356"/>
      <c r="H1735" s="325"/>
      <c r="I1735" s="356"/>
      <c r="J1735" s="325"/>
      <c r="K1735" s="356"/>
      <c r="L1735" s="325"/>
      <c r="M1735" s="7"/>
      <c r="N1735" s="206"/>
    </row>
    <row r="1736" spans="1:14" s="6" customFormat="1" ht="15" customHeight="1" x14ac:dyDescent="0.25">
      <c r="A1736" s="32"/>
      <c r="B1736" s="330"/>
      <c r="C1736" s="324"/>
      <c r="D1736" s="325"/>
      <c r="E1736" s="356"/>
      <c r="F1736" s="325"/>
      <c r="G1736" s="356"/>
      <c r="H1736" s="325"/>
      <c r="I1736" s="356"/>
      <c r="J1736" s="325"/>
      <c r="K1736" s="356"/>
      <c r="L1736" s="325"/>
      <c r="M1736" s="7"/>
      <c r="N1736" s="206"/>
    </row>
    <row r="1737" spans="1:14" s="6" customFormat="1" ht="15" customHeight="1" x14ac:dyDescent="0.25">
      <c r="A1737" s="32"/>
      <c r="B1737" s="330"/>
      <c r="C1737" s="324"/>
      <c r="D1737" s="325"/>
      <c r="E1737" s="356"/>
      <c r="F1737" s="325"/>
      <c r="G1737" s="356"/>
      <c r="H1737" s="325"/>
      <c r="I1737" s="356"/>
      <c r="J1737" s="325"/>
      <c r="K1737" s="356"/>
      <c r="L1737" s="325"/>
      <c r="M1737" s="7"/>
      <c r="N1737" s="206"/>
    </row>
    <row r="1738" spans="1:14" s="6" customFormat="1" ht="15" customHeight="1" x14ac:dyDescent="0.25">
      <c r="A1738" s="32"/>
      <c r="B1738" s="348"/>
      <c r="C1738" s="340"/>
      <c r="D1738" s="341"/>
      <c r="E1738" s="361"/>
      <c r="F1738" s="341"/>
      <c r="G1738" s="361"/>
      <c r="H1738" s="341"/>
      <c r="I1738" s="361"/>
      <c r="J1738" s="341"/>
      <c r="K1738" s="356"/>
      <c r="L1738" s="325"/>
      <c r="M1738" s="7"/>
      <c r="N1738" s="206"/>
    </row>
    <row r="1739" spans="1:14" s="6" customFormat="1" ht="15" customHeight="1" x14ac:dyDescent="0.25">
      <c r="A1739" s="32"/>
      <c r="B1739" s="349"/>
      <c r="C1739" s="249">
        <f>K1732+3</f>
        <v>43437</v>
      </c>
      <c r="D1739" s="250"/>
      <c r="E1739" s="251">
        <f>C1739+1</f>
        <v>43438</v>
      </c>
      <c r="F1739" s="250"/>
      <c r="G1739" s="251">
        <f>E1739+1</f>
        <v>43439</v>
      </c>
      <c r="H1739" s="250"/>
      <c r="I1739" s="251">
        <f>G1739+1</f>
        <v>43440</v>
      </c>
      <c r="J1739" s="250"/>
      <c r="K1739" s="251">
        <f>I1739+1</f>
        <v>43441</v>
      </c>
      <c r="L1739" s="250"/>
      <c r="M1739" s="7"/>
      <c r="N1739" s="206"/>
    </row>
    <row r="1740" spans="1:14" s="6" customFormat="1" ht="15" customHeight="1" x14ac:dyDescent="0.25">
      <c r="A1740" s="32"/>
      <c r="B1740" s="349"/>
      <c r="C1740" s="320"/>
      <c r="D1740" s="321"/>
      <c r="E1740" s="355"/>
      <c r="F1740" s="321"/>
      <c r="G1740" s="355"/>
      <c r="H1740" s="321"/>
      <c r="I1740" s="355"/>
      <c r="J1740" s="321"/>
      <c r="K1740" s="355"/>
      <c r="L1740" s="321"/>
      <c r="M1740" s="7"/>
      <c r="N1740" s="206"/>
    </row>
    <row r="1741" spans="1:14" s="6" customFormat="1" ht="15" customHeight="1" x14ac:dyDescent="0.25">
      <c r="A1741" s="32"/>
      <c r="B1741" s="349"/>
      <c r="C1741" s="320"/>
      <c r="D1741" s="321"/>
      <c r="E1741" s="355"/>
      <c r="F1741" s="321"/>
      <c r="G1741" s="355"/>
      <c r="H1741" s="321"/>
      <c r="I1741" s="355"/>
      <c r="J1741" s="321"/>
      <c r="K1741" s="355"/>
      <c r="L1741" s="321"/>
      <c r="M1741" s="7"/>
      <c r="N1741" s="206"/>
    </row>
    <row r="1742" spans="1:14" s="6" customFormat="1" ht="15" customHeight="1" x14ac:dyDescent="0.25">
      <c r="A1742" s="32"/>
      <c r="B1742" s="349"/>
      <c r="C1742" s="322"/>
      <c r="D1742" s="323"/>
      <c r="E1742" s="355"/>
      <c r="F1742" s="321"/>
      <c r="G1742" s="355"/>
      <c r="H1742" s="321"/>
      <c r="I1742" s="355"/>
      <c r="J1742" s="321"/>
      <c r="K1742" s="355"/>
      <c r="L1742" s="321"/>
      <c r="M1742" s="7"/>
      <c r="N1742" s="206"/>
    </row>
    <row r="1743" spans="1:14" s="6" customFormat="1" ht="15" customHeight="1" x14ac:dyDescent="0.25">
      <c r="A1743" s="32"/>
      <c r="B1743" s="349"/>
      <c r="C1743" s="320"/>
      <c r="D1743" s="321"/>
      <c r="E1743" s="355"/>
      <c r="F1743" s="321"/>
      <c r="G1743" s="355"/>
      <c r="H1743" s="321"/>
      <c r="I1743" s="355"/>
      <c r="J1743" s="321"/>
      <c r="K1743" s="355"/>
      <c r="L1743" s="321"/>
      <c r="M1743" s="7"/>
      <c r="N1743" s="206"/>
    </row>
    <row r="1744" spans="1:14" s="6" customFormat="1" ht="15" customHeight="1" x14ac:dyDescent="0.25">
      <c r="A1744" s="32"/>
      <c r="B1744" s="349"/>
      <c r="C1744" s="320"/>
      <c r="D1744" s="321"/>
      <c r="E1744" s="355"/>
      <c r="F1744" s="321"/>
      <c r="G1744" s="355"/>
      <c r="H1744" s="321"/>
      <c r="I1744" s="355"/>
      <c r="J1744" s="321"/>
      <c r="K1744" s="355"/>
      <c r="L1744" s="321"/>
      <c r="M1744" s="7"/>
      <c r="N1744" s="206"/>
    </row>
    <row r="1745" spans="1:14" s="6" customFormat="1" ht="15" customHeight="1" x14ac:dyDescent="0.25">
      <c r="A1745" s="32"/>
      <c r="B1745" s="349"/>
      <c r="C1745" s="334"/>
      <c r="D1745" s="335"/>
      <c r="E1745" s="354"/>
      <c r="F1745" s="335"/>
      <c r="G1745" s="354"/>
      <c r="H1745" s="335"/>
      <c r="I1745" s="354"/>
      <c r="J1745" s="335"/>
      <c r="K1745" s="355"/>
      <c r="L1745" s="321"/>
      <c r="M1745" s="7"/>
      <c r="N1745" s="206"/>
    </row>
    <row r="1746" spans="1:14" s="6" customFormat="1" ht="15" customHeight="1" x14ac:dyDescent="0.25">
      <c r="A1746" s="32"/>
      <c r="B1746" s="349"/>
      <c r="C1746" s="249">
        <f>K1739+3</f>
        <v>43444</v>
      </c>
      <c r="D1746" s="250"/>
      <c r="E1746" s="251">
        <f>C1746+1</f>
        <v>43445</v>
      </c>
      <c r="F1746" s="250"/>
      <c r="G1746" s="251">
        <f>E1746+1</f>
        <v>43446</v>
      </c>
      <c r="H1746" s="250"/>
      <c r="I1746" s="251">
        <f>G1746+1</f>
        <v>43447</v>
      </c>
      <c r="J1746" s="250"/>
      <c r="K1746" s="251">
        <f>I1746+1</f>
        <v>43448</v>
      </c>
      <c r="L1746" s="250"/>
      <c r="M1746" s="7"/>
      <c r="N1746" s="206"/>
    </row>
    <row r="1747" spans="1:14" s="6" customFormat="1" ht="15" customHeight="1" x14ac:dyDescent="0.25">
      <c r="A1747" s="32"/>
      <c r="B1747" s="349"/>
      <c r="C1747" s="320"/>
      <c r="D1747" s="321"/>
      <c r="E1747" s="355"/>
      <c r="F1747" s="321"/>
      <c r="G1747" s="355"/>
      <c r="H1747" s="321"/>
      <c r="I1747" s="355"/>
      <c r="J1747" s="321"/>
      <c r="K1747" s="355"/>
      <c r="L1747" s="321"/>
      <c r="M1747" s="7"/>
      <c r="N1747" s="206"/>
    </row>
    <row r="1748" spans="1:14" s="6" customFormat="1" ht="15" customHeight="1" x14ac:dyDescent="0.25">
      <c r="A1748" s="32"/>
      <c r="B1748" s="349"/>
      <c r="C1748" s="320"/>
      <c r="D1748" s="321"/>
      <c r="E1748" s="355"/>
      <c r="F1748" s="321"/>
      <c r="G1748" s="355"/>
      <c r="H1748" s="321"/>
      <c r="I1748" s="355"/>
      <c r="J1748" s="321"/>
      <c r="K1748" s="355"/>
      <c r="L1748" s="321"/>
      <c r="M1748" s="7"/>
      <c r="N1748" s="206"/>
    </row>
    <row r="1749" spans="1:14" s="6" customFormat="1" ht="15" customHeight="1" x14ac:dyDescent="0.25">
      <c r="A1749" s="32"/>
      <c r="B1749" s="349"/>
      <c r="C1749" s="322"/>
      <c r="D1749" s="323"/>
      <c r="E1749" s="355"/>
      <c r="F1749" s="321"/>
      <c r="G1749" s="355"/>
      <c r="H1749" s="321"/>
      <c r="I1749" s="355"/>
      <c r="J1749" s="321"/>
      <c r="K1749" s="355"/>
      <c r="L1749" s="321"/>
      <c r="M1749" s="7"/>
      <c r="N1749" s="206"/>
    </row>
    <row r="1750" spans="1:14" s="6" customFormat="1" ht="15" customHeight="1" x14ac:dyDescent="0.25">
      <c r="A1750" s="32"/>
      <c r="B1750" s="349"/>
      <c r="C1750" s="320"/>
      <c r="D1750" s="321"/>
      <c r="E1750" s="355"/>
      <c r="F1750" s="321"/>
      <c r="G1750" s="355"/>
      <c r="H1750" s="321"/>
      <c r="I1750" s="355"/>
      <c r="J1750" s="321"/>
      <c r="K1750" s="355"/>
      <c r="L1750" s="321"/>
      <c r="M1750" s="7"/>
      <c r="N1750" s="206"/>
    </row>
    <row r="1751" spans="1:14" s="6" customFormat="1" ht="15" customHeight="1" x14ac:dyDescent="0.25">
      <c r="A1751" s="32"/>
      <c r="B1751" s="349"/>
      <c r="C1751" s="320"/>
      <c r="D1751" s="321"/>
      <c r="E1751" s="355"/>
      <c r="F1751" s="321"/>
      <c r="G1751" s="355"/>
      <c r="H1751" s="321"/>
      <c r="I1751" s="355"/>
      <c r="J1751" s="321"/>
      <c r="K1751" s="355"/>
      <c r="L1751" s="321"/>
      <c r="M1751" s="7"/>
      <c r="N1751" s="206"/>
    </row>
    <row r="1752" spans="1:14" s="6" customFormat="1" ht="15" customHeight="1" x14ac:dyDescent="0.25">
      <c r="A1752" s="32"/>
      <c r="B1752" s="349"/>
      <c r="C1752" s="334"/>
      <c r="D1752" s="335"/>
      <c r="E1752" s="354"/>
      <c r="F1752" s="335"/>
      <c r="G1752" s="354"/>
      <c r="H1752" s="335"/>
      <c r="I1752" s="354"/>
      <c r="J1752" s="335"/>
      <c r="K1752" s="355"/>
      <c r="L1752" s="321"/>
      <c r="M1752" s="7"/>
      <c r="N1752" s="206"/>
    </row>
    <row r="1753" spans="1:14" s="6" customFormat="1" ht="15" customHeight="1" x14ac:dyDescent="0.25">
      <c r="A1753" s="32"/>
      <c r="B1753" s="349"/>
      <c r="C1753" s="249">
        <f>K1746+3</f>
        <v>43451</v>
      </c>
      <c r="D1753" s="250"/>
      <c r="E1753" s="251">
        <f>C1753+1</f>
        <v>43452</v>
      </c>
      <c r="F1753" s="250"/>
      <c r="G1753" s="251">
        <f>E1753+1</f>
        <v>43453</v>
      </c>
      <c r="H1753" s="250"/>
      <c r="I1753" s="251">
        <f>G1753+1</f>
        <v>43454</v>
      </c>
      <c r="J1753" s="250"/>
      <c r="K1753" s="251">
        <f>I1753+1</f>
        <v>43455</v>
      </c>
      <c r="L1753" s="250"/>
      <c r="M1753" s="7"/>
      <c r="N1753" s="206"/>
    </row>
    <row r="1754" spans="1:14" s="6" customFormat="1" ht="15" customHeight="1" x14ac:dyDescent="0.25">
      <c r="A1754" s="32"/>
      <c r="B1754" s="349"/>
      <c r="C1754" s="320"/>
      <c r="D1754" s="321"/>
      <c r="E1754" s="355"/>
      <c r="F1754" s="321"/>
      <c r="G1754" s="355"/>
      <c r="H1754" s="321"/>
      <c r="I1754" s="355"/>
      <c r="J1754" s="321"/>
      <c r="K1754" s="355"/>
      <c r="L1754" s="321"/>
      <c r="M1754" s="7"/>
      <c r="N1754" s="206"/>
    </row>
    <row r="1755" spans="1:14" s="6" customFormat="1" ht="15" customHeight="1" x14ac:dyDescent="0.25">
      <c r="A1755" s="32"/>
      <c r="B1755" s="349"/>
      <c r="C1755" s="320"/>
      <c r="D1755" s="321"/>
      <c r="E1755" s="355"/>
      <c r="F1755" s="321"/>
      <c r="G1755" s="355"/>
      <c r="H1755" s="321"/>
      <c r="I1755" s="355"/>
      <c r="J1755" s="321"/>
      <c r="K1755" s="355"/>
      <c r="L1755" s="321"/>
      <c r="M1755" s="7"/>
      <c r="N1755" s="206"/>
    </row>
    <row r="1756" spans="1:14" s="6" customFormat="1" ht="15" customHeight="1" x14ac:dyDescent="0.25">
      <c r="A1756" s="32"/>
      <c r="B1756" s="349"/>
      <c r="C1756" s="322"/>
      <c r="D1756" s="323"/>
      <c r="E1756" s="355"/>
      <c r="F1756" s="321"/>
      <c r="G1756" s="355"/>
      <c r="H1756" s="321"/>
      <c r="I1756" s="355"/>
      <c r="J1756" s="321"/>
      <c r="K1756" s="355"/>
      <c r="L1756" s="321"/>
      <c r="M1756" s="7"/>
      <c r="N1756" s="206"/>
    </row>
    <row r="1757" spans="1:14" s="6" customFormat="1" ht="15" customHeight="1" x14ac:dyDescent="0.25">
      <c r="A1757" s="32"/>
      <c r="B1757" s="349"/>
      <c r="C1757" s="320"/>
      <c r="D1757" s="321"/>
      <c r="E1757" s="355"/>
      <c r="F1757" s="321"/>
      <c r="G1757" s="355"/>
      <c r="H1757" s="321"/>
      <c r="I1757" s="355"/>
      <c r="J1757" s="321"/>
      <c r="K1757" s="355"/>
      <c r="L1757" s="321"/>
      <c r="M1757" s="7"/>
      <c r="N1757" s="206"/>
    </row>
    <row r="1758" spans="1:14" s="6" customFormat="1" ht="15" customHeight="1" x14ac:dyDescent="0.25">
      <c r="A1758" s="32"/>
      <c r="B1758" s="349"/>
      <c r="C1758" s="320"/>
      <c r="D1758" s="321"/>
      <c r="E1758" s="355"/>
      <c r="F1758" s="321"/>
      <c r="G1758" s="355"/>
      <c r="H1758" s="321"/>
      <c r="I1758" s="355"/>
      <c r="J1758" s="321"/>
      <c r="K1758" s="355"/>
      <c r="L1758" s="321"/>
      <c r="M1758" s="7"/>
      <c r="N1758" s="206"/>
    </row>
    <row r="1759" spans="1:14" s="6" customFormat="1" ht="15" customHeight="1" x14ac:dyDescent="0.25">
      <c r="A1759" s="32"/>
      <c r="B1759" s="349"/>
      <c r="C1759" s="334"/>
      <c r="D1759" s="335"/>
      <c r="E1759" s="354"/>
      <c r="F1759" s="335"/>
      <c r="G1759" s="354"/>
      <c r="H1759" s="335"/>
      <c r="I1759" s="354"/>
      <c r="J1759" s="335"/>
      <c r="K1759" s="355"/>
      <c r="L1759" s="321"/>
      <c r="M1759" s="7"/>
      <c r="N1759" s="206"/>
    </row>
    <row r="1760" spans="1:14" s="6" customFormat="1" ht="15" customHeight="1" x14ac:dyDescent="0.25">
      <c r="A1760" s="32"/>
      <c r="B1760" s="349">
        <v>43435</v>
      </c>
      <c r="C1760" s="249">
        <f>K1753+3</f>
        <v>43458</v>
      </c>
      <c r="D1760" s="250"/>
      <c r="E1760" s="251">
        <f>C1760+1</f>
        <v>43459</v>
      </c>
      <c r="F1760" s="250"/>
      <c r="G1760" s="251">
        <f>E1760+1</f>
        <v>43460</v>
      </c>
      <c r="H1760" s="250"/>
      <c r="I1760" s="251">
        <f>G1760+1</f>
        <v>43461</v>
      </c>
      <c r="J1760" s="250"/>
      <c r="K1760" s="251">
        <f>I1760+1</f>
        <v>43462</v>
      </c>
      <c r="L1760" s="250"/>
      <c r="M1760" s="7"/>
      <c r="N1760" s="206"/>
    </row>
    <row r="1761" spans="1:14" s="6" customFormat="1" ht="15" customHeight="1" x14ac:dyDescent="0.25">
      <c r="A1761" s="32"/>
      <c r="B1761" s="349"/>
      <c r="C1761" s="320"/>
      <c r="D1761" s="321"/>
      <c r="E1761" s="355"/>
      <c r="F1761" s="321"/>
      <c r="G1761" s="355"/>
      <c r="H1761" s="321"/>
      <c r="I1761" s="355"/>
      <c r="J1761" s="321"/>
      <c r="K1761" s="355"/>
      <c r="L1761" s="321"/>
      <c r="M1761" s="7"/>
      <c r="N1761" s="206"/>
    </row>
    <row r="1762" spans="1:14" s="6" customFormat="1" ht="15" customHeight="1" x14ac:dyDescent="0.25">
      <c r="A1762" s="32"/>
      <c r="B1762" s="349"/>
      <c r="C1762" s="320"/>
      <c r="D1762" s="321"/>
      <c r="E1762" s="355"/>
      <c r="F1762" s="321"/>
      <c r="G1762" s="355"/>
      <c r="H1762" s="321"/>
      <c r="I1762" s="355"/>
      <c r="J1762" s="321"/>
      <c r="K1762" s="355"/>
      <c r="L1762" s="321"/>
      <c r="M1762" s="7"/>
      <c r="N1762" s="206"/>
    </row>
    <row r="1763" spans="1:14" s="6" customFormat="1" ht="15" customHeight="1" x14ac:dyDescent="0.25">
      <c r="A1763" s="32"/>
      <c r="B1763" s="349"/>
      <c r="C1763" s="322"/>
      <c r="D1763" s="323"/>
      <c r="E1763" s="355"/>
      <c r="F1763" s="321"/>
      <c r="G1763" s="355"/>
      <c r="H1763" s="321"/>
      <c r="I1763" s="355"/>
      <c r="J1763" s="321"/>
      <c r="K1763" s="355"/>
      <c r="L1763" s="321"/>
      <c r="M1763" s="7"/>
      <c r="N1763" s="206"/>
    </row>
    <row r="1764" spans="1:14" s="6" customFormat="1" ht="15" customHeight="1" x14ac:dyDescent="0.25">
      <c r="A1764" s="32"/>
      <c r="B1764" s="349"/>
      <c r="C1764" s="320"/>
      <c r="D1764" s="321"/>
      <c r="E1764" s="355"/>
      <c r="F1764" s="321"/>
      <c r="G1764" s="355"/>
      <c r="H1764" s="321"/>
      <c r="I1764" s="355"/>
      <c r="J1764" s="321"/>
      <c r="K1764" s="355"/>
      <c r="L1764" s="321"/>
      <c r="M1764" s="7"/>
      <c r="N1764" s="206"/>
    </row>
    <row r="1765" spans="1:14" s="6" customFormat="1" ht="15" customHeight="1" x14ac:dyDescent="0.25">
      <c r="A1765" s="32"/>
      <c r="B1765" s="349"/>
      <c r="C1765" s="320"/>
      <c r="D1765" s="321"/>
      <c r="E1765" s="355"/>
      <c r="F1765" s="321"/>
      <c r="G1765" s="355"/>
      <c r="H1765" s="321"/>
      <c r="I1765" s="355"/>
      <c r="J1765" s="321"/>
      <c r="K1765" s="355"/>
      <c r="L1765" s="321"/>
      <c r="M1765" s="7"/>
      <c r="N1765" s="206"/>
    </row>
    <row r="1766" spans="1:14" s="6" customFormat="1" ht="15" customHeight="1" x14ac:dyDescent="0.25">
      <c r="A1766" s="32"/>
      <c r="B1766" s="349"/>
      <c r="C1766" s="334"/>
      <c r="D1766" s="335"/>
      <c r="E1766" s="354"/>
      <c r="F1766" s="335"/>
      <c r="G1766" s="354"/>
      <c r="H1766" s="335"/>
      <c r="I1766" s="354"/>
      <c r="J1766" s="335"/>
      <c r="K1766" s="355"/>
      <c r="L1766" s="321"/>
      <c r="M1766" s="7"/>
      <c r="N1766" s="206"/>
    </row>
    <row r="1767" spans="1:14" s="6" customFormat="1" ht="15" customHeight="1" x14ac:dyDescent="0.25">
      <c r="A1767" s="32"/>
      <c r="B1767" s="349"/>
      <c r="C1767" s="249">
        <f>K1760+3</f>
        <v>43465</v>
      </c>
      <c r="D1767" s="250"/>
      <c r="E1767" s="252"/>
      <c r="F1767" s="253"/>
      <c r="G1767" s="252"/>
      <c r="H1767" s="253"/>
      <c r="I1767" s="252"/>
      <c r="J1767" s="253"/>
      <c r="K1767" s="252"/>
      <c r="L1767" s="253"/>
      <c r="M1767" s="1"/>
      <c r="N1767" s="206"/>
    </row>
    <row r="1768" spans="1:14" s="6" customFormat="1" ht="15" customHeight="1" x14ac:dyDescent="0.25">
      <c r="A1768" s="32"/>
      <c r="B1768" s="349"/>
      <c r="C1768" s="320"/>
      <c r="D1768" s="321"/>
      <c r="E1768" s="252"/>
      <c r="F1768" s="253"/>
      <c r="G1768" s="252"/>
      <c r="H1768" s="253"/>
      <c r="I1768" s="252"/>
      <c r="J1768" s="253"/>
      <c r="K1768" s="252"/>
      <c r="L1768" s="253"/>
      <c r="M1768" s="1"/>
      <c r="N1768" s="206"/>
    </row>
    <row r="1769" spans="1:14" s="6" customFormat="1" ht="15" customHeight="1" x14ac:dyDescent="0.25">
      <c r="A1769" s="32"/>
      <c r="B1769" s="349"/>
      <c r="C1769" s="320"/>
      <c r="D1769" s="321"/>
      <c r="E1769" s="252"/>
      <c r="F1769" s="253"/>
      <c r="G1769" s="252"/>
      <c r="H1769" s="253"/>
      <c r="I1769" s="252"/>
      <c r="J1769" s="253"/>
      <c r="K1769" s="252"/>
      <c r="L1769" s="253"/>
      <c r="M1769" s="1"/>
      <c r="N1769" s="206"/>
    </row>
    <row r="1770" spans="1:14" s="6" customFormat="1" ht="15" customHeight="1" x14ac:dyDescent="0.25">
      <c r="A1770" s="32"/>
      <c r="B1770" s="349"/>
      <c r="C1770" s="322"/>
      <c r="D1770" s="323"/>
      <c r="E1770" s="252"/>
      <c r="F1770" s="253"/>
      <c r="G1770" s="252"/>
      <c r="H1770" s="253"/>
      <c r="I1770" s="252"/>
      <c r="J1770" s="253"/>
      <c r="K1770" s="252"/>
      <c r="L1770" s="253"/>
      <c r="M1770" s="1"/>
      <c r="N1770" s="206"/>
    </row>
    <row r="1771" spans="1:14" s="6" customFormat="1" ht="15" customHeight="1" x14ac:dyDescent="0.25">
      <c r="A1771" s="32"/>
      <c r="B1771" s="349"/>
      <c r="C1771" s="320"/>
      <c r="D1771" s="321"/>
      <c r="E1771" s="252"/>
      <c r="F1771" s="253"/>
      <c r="G1771" s="252"/>
      <c r="H1771" s="253"/>
      <c r="I1771" s="252"/>
      <c r="J1771" s="253"/>
      <c r="K1771" s="252"/>
      <c r="L1771" s="253"/>
      <c r="M1771" s="1"/>
      <c r="N1771" s="206"/>
    </row>
    <row r="1772" spans="1:14" s="6" customFormat="1" ht="15" customHeight="1" x14ac:dyDescent="0.25">
      <c r="A1772" s="32"/>
      <c r="B1772" s="349"/>
      <c r="C1772" s="320"/>
      <c r="D1772" s="321"/>
      <c r="E1772" s="252"/>
      <c r="F1772" s="253"/>
      <c r="G1772" s="252"/>
      <c r="H1772" s="253"/>
      <c r="I1772" s="252"/>
      <c r="J1772" s="253"/>
      <c r="K1772" s="252"/>
      <c r="L1772" s="253"/>
      <c r="M1772" s="1"/>
      <c r="N1772" s="206"/>
    </row>
    <row r="1773" spans="1:14" s="6" customFormat="1" ht="15" customHeight="1" x14ac:dyDescent="0.25">
      <c r="A1773" s="32"/>
      <c r="B1773" s="350"/>
      <c r="C1773" s="334"/>
      <c r="D1773" s="335"/>
      <c r="E1773" s="252"/>
      <c r="F1773" s="253"/>
      <c r="G1773" s="252"/>
      <c r="H1773" s="253"/>
      <c r="I1773" s="252"/>
      <c r="J1773" s="253"/>
      <c r="K1773" s="252"/>
      <c r="L1773" s="253"/>
      <c r="M1773" s="1"/>
      <c r="N1773" s="206"/>
    </row>
    <row r="1774" spans="1:14" x14ac:dyDescent="0.25">
      <c r="B1774" s="5"/>
      <c r="C1774" s="254" t="str">
        <f>IF(D1774&lt;&gt;"","-","")</f>
        <v/>
      </c>
      <c r="D1774" s="393"/>
      <c r="E1774" s="394"/>
      <c r="F1774" s="394"/>
      <c r="G1774" s="252" t="str">
        <f>IF(H1774&lt;&gt;"","-","")</f>
        <v/>
      </c>
      <c r="H1774" s="253"/>
      <c r="I1774" s="255" t="str">
        <f>IF(J1775&lt;&gt;"","-","")</f>
        <v/>
      </c>
      <c r="K1774" s="255"/>
      <c r="M1774" s="3"/>
      <c r="N1774" s="31"/>
    </row>
    <row r="1775" spans="1:14" ht="15" customHeight="1" x14ac:dyDescent="0.25">
      <c r="C1775" s="254"/>
      <c r="D1775" s="257"/>
      <c r="E1775" s="258"/>
      <c r="F1775" s="257"/>
      <c r="G1775" s="252"/>
      <c r="H1775" s="253"/>
      <c r="I1775" s="255"/>
      <c r="K1775" s="255"/>
      <c r="M1775" s="3"/>
      <c r="N1775" s="31"/>
    </row>
    <row r="1776" spans="1:14" x14ac:dyDescent="0.25">
      <c r="C1776" s="254"/>
      <c r="D1776" s="536" t="s">
        <v>11</v>
      </c>
      <c r="E1776" s="260"/>
      <c r="F1776" s="411"/>
      <c r="G1776" s="412"/>
      <c r="H1776" s="253"/>
      <c r="I1776" s="255"/>
      <c r="J1776" s="261" t="s">
        <v>130</v>
      </c>
      <c r="K1776" s="255"/>
      <c r="L1776" s="262" t="s">
        <v>166</v>
      </c>
      <c r="M1776" s="3"/>
      <c r="N1776" s="31"/>
    </row>
    <row r="1777" spans="1:15" x14ac:dyDescent="0.25">
      <c r="C1777" s="254"/>
      <c r="D1777" s="536" t="s">
        <v>10</v>
      </c>
      <c r="E1777" s="263"/>
      <c r="F1777" s="413"/>
      <c r="G1777" s="414"/>
      <c r="H1777" s="253"/>
      <c r="I1777" s="255"/>
      <c r="J1777" s="264" t="s">
        <v>133</v>
      </c>
      <c r="K1777" s="255"/>
      <c r="L1777" s="265" t="s">
        <v>167</v>
      </c>
      <c r="M1777" s="3"/>
      <c r="N1777" s="31"/>
    </row>
    <row r="1778" spans="1:15" ht="15" customHeight="1" x14ac:dyDescent="0.25">
      <c r="C1778" s="254"/>
      <c r="D1778" s="536" t="s">
        <v>9</v>
      </c>
      <c r="E1778" s="266"/>
      <c r="F1778" s="395"/>
      <c r="G1778" s="396"/>
      <c r="H1778" s="253"/>
      <c r="I1778" s="255"/>
      <c r="J1778" s="264" t="s">
        <v>136</v>
      </c>
      <c r="K1778" s="255"/>
      <c r="L1778" s="265" t="s">
        <v>165</v>
      </c>
      <c r="M1778" s="3"/>
      <c r="N1778" s="31"/>
    </row>
    <row r="1779" spans="1:15" ht="15" customHeight="1" x14ac:dyDescent="0.25">
      <c r="C1779" s="254"/>
      <c r="D1779" s="536" t="s">
        <v>8</v>
      </c>
      <c r="E1779" s="267"/>
      <c r="F1779" s="397"/>
      <c r="G1779" s="398"/>
      <c r="H1779" s="253"/>
      <c r="I1779" s="255"/>
      <c r="J1779" s="264" t="s">
        <v>150</v>
      </c>
      <c r="K1779" s="255"/>
      <c r="M1779" s="3"/>
      <c r="N1779" s="31"/>
    </row>
    <row r="1780" spans="1:15" ht="18.75" customHeight="1" x14ac:dyDescent="0.3">
      <c r="A1780" s="38"/>
      <c r="B1780" s="4"/>
      <c r="C1780" s="254"/>
      <c r="D1780" s="536" t="s">
        <v>7</v>
      </c>
      <c r="E1780" s="268"/>
      <c r="F1780" s="395"/>
      <c r="G1780" s="396" t="str">
        <f t="shared" ref="G1780:G1801" si="0">IF(H1780&lt;&gt;"","-","")</f>
        <v/>
      </c>
      <c r="H1780" s="253"/>
      <c r="I1780" s="255"/>
      <c r="J1780" s="264" t="s">
        <v>132</v>
      </c>
      <c r="K1780" s="255"/>
      <c r="M1780" s="3"/>
      <c r="N1780" s="31"/>
    </row>
    <row r="1781" spans="1:15" ht="18.75" customHeight="1" x14ac:dyDescent="0.3">
      <c r="A1781" s="38"/>
      <c r="B1781" s="4"/>
      <c r="C1781" s="254"/>
      <c r="D1781" s="536" t="s">
        <v>6</v>
      </c>
      <c r="E1781" s="269"/>
      <c r="F1781" s="405"/>
      <c r="G1781" s="406" t="str">
        <f t="shared" si="0"/>
        <v/>
      </c>
      <c r="H1781" s="253"/>
      <c r="I1781" s="255"/>
      <c r="J1781" s="264" t="s">
        <v>112</v>
      </c>
      <c r="K1781" s="255"/>
      <c r="M1781" s="3"/>
      <c r="N1781" s="31"/>
    </row>
    <row r="1782" spans="1:15" ht="18.75" customHeight="1" x14ac:dyDescent="0.3">
      <c r="A1782" s="38"/>
      <c r="B1782" s="4"/>
      <c r="C1782" s="254"/>
      <c r="D1782" s="536" t="s">
        <v>5</v>
      </c>
      <c r="E1782" s="270"/>
      <c r="F1782" s="407"/>
      <c r="G1782" s="408" t="str">
        <f t="shared" si="0"/>
        <v/>
      </c>
      <c r="H1782" s="253"/>
      <c r="I1782" s="255"/>
      <c r="J1782" s="264" t="s">
        <v>115</v>
      </c>
      <c r="K1782" s="255"/>
      <c r="M1782" s="3"/>
      <c r="N1782" s="31"/>
    </row>
    <row r="1783" spans="1:15" ht="18.75" customHeight="1" x14ac:dyDescent="0.3">
      <c r="A1783" s="38"/>
      <c r="B1783" s="4"/>
      <c r="C1783" s="254"/>
      <c r="D1783" s="536" t="s">
        <v>4</v>
      </c>
      <c r="E1783" s="271"/>
      <c r="F1783" s="409"/>
      <c r="G1783" s="410" t="str">
        <f t="shared" si="0"/>
        <v/>
      </c>
      <c r="H1783" s="253"/>
      <c r="I1783" s="255"/>
      <c r="J1783" s="264" t="s">
        <v>135</v>
      </c>
      <c r="K1783" s="255"/>
      <c r="M1783" s="3"/>
      <c r="N1783" s="31"/>
    </row>
    <row r="1784" spans="1:15" ht="18" customHeight="1" x14ac:dyDescent="0.25">
      <c r="B1784" s="4"/>
      <c r="C1784" s="254"/>
      <c r="D1784" s="536" t="s">
        <v>3</v>
      </c>
      <c r="E1784" s="272"/>
      <c r="F1784" s="405"/>
      <c r="G1784" s="406" t="str">
        <f t="shared" si="0"/>
        <v/>
      </c>
      <c r="H1784" s="253"/>
      <c r="I1784" s="255"/>
      <c r="J1784" s="264" t="s">
        <v>153</v>
      </c>
      <c r="K1784" s="255"/>
      <c r="M1784" s="3"/>
      <c r="N1784" s="31"/>
      <c r="O1784" s="1" t="s">
        <v>143</v>
      </c>
    </row>
    <row r="1785" spans="1:15" ht="18" customHeight="1" x14ac:dyDescent="0.25">
      <c r="B1785" s="4"/>
      <c r="C1785" s="254"/>
      <c r="D1785" s="536" t="s">
        <v>2</v>
      </c>
      <c r="E1785" s="273"/>
      <c r="F1785" s="399"/>
      <c r="G1785" s="400" t="str">
        <f t="shared" si="0"/>
        <v/>
      </c>
      <c r="H1785" s="253"/>
      <c r="I1785" s="255"/>
      <c r="J1785" s="264" t="s">
        <v>131</v>
      </c>
      <c r="K1785" s="255"/>
    </row>
    <row r="1786" spans="1:15" x14ac:dyDescent="0.25">
      <c r="C1786" s="254"/>
      <c r="D1786" s="536" t="s">
        <v>1</v>
      </c>
      <c r="E1786" s="274"/>
      <c r="F1786" s="401"/>
      <c r="G1786" s="402" t="str">
        <f t="shared" si="0"/>
        <v/>
      </c>
      <c r="H1786" s="253"/>
      <c r="I1786" s="255"/>
      <c r="J1786" s="264" t="s">
        <v>81</v>
      </c>
      <c r="K1786" s="255"/>
    </row>
    <row r="1787" spans="1:15" x14ac:dyDescent="0.25">
      <c r="C1787" s="254"/>
      <c r="D1787" s="536" t="s">
        <v>0</v>
      </c>
      <c r="E1787" s="275"/>
      <c r="F1787" s="411"/>
      <c r="G1787" s="412" t="str">
        <f t="shared" si="0"/>
        <v/>
      </c>
      <c r="H1787" s="253"/>
      <c r="I1787" s="255"/>
      <c r="J1787" s="264" t="s">
        <v>134</v>
      </c>
      <c r="K1787" s="255"/>
    </row>
    <row r="1788" spans="1:15" x14ac:dyDescent="0.25">
      <c r="C1788" s="254"/>
      <c r="D1788" s="259"/>
      <c r="E1788" s="254"/>
      <c r="F1788" s="254"/>
      <c r="G1788" s="252" t="str">
        <f t="shared" si="0"/>
        <v/>
      </c>
      <c r="H1788" s="253"/>
      <c r="I1788" s="255"/>
      <c r="K1788" s="255"/>
    </row>
    <row r="1789" spans="1:15" x14ac:dyDescent="0.25">
      <c r="C1789" s="254"/>
      <c r="D1789" s="393"/>
      <c r="E1789" s="394"/>
      <c r="F1789" s="394"/>
      <c r="G1789" s="252" t="str">
        <f t="shared" si="0"/>
        <v/>
      </c>
      <c r="H1789" s="253"/>
      <c r="I1789" s="255"/>
      <c r="J1789" s="276" t="s">
        <v>137</v>
      </c>
      <c r="K1789" s="255"/>
    </row>
    <row r="1790" spans="1:15" x14ac:dyDescent="0.25">
      <c r="C1790" s="254"/>
      <c r="D1790" s="393"/>
      <c r="E1790" s="394"/>
      <c r="F1790" s="394"/>
      <c r="G1790" s="252" t="str">
        <f t="shared" si="0"/>
        <v/>
      </c>
      <c r="H1790" s="253"/>
      <c r="J1790" s="277" t="s">
        <v>113</v>
      </c>
    </row>
    <row r="1791" spans="1:15" x14ac:dyDescent="0.25">
      <c r="C1791" s="254"/>
      <c r="D1791" s="278"/>
      <c r="E1791" s="278"/>
      <c r="F1791" s="278"/>
      <c r="G1791" s="252" t="str">
        <f t="shared" si="0"/>
        <v/>
      </c>
      <c r="H1791" s="253"/>
      <c r="J1791" s="277" t="s">
        <v>138</v>
      </c>
    </row>
    <row r="1792" spans="1:15" x14ac:dyDescent="0.25">
      <c r="C1792" s="254" t="str">
        <f t="shared" ref="C1792:C1801" si="1">IF(D1792&lt;&gt;"","-","")</f>
        <v/>
      </c>
      <c r="D1792" s="391"/>
      <c r="E1792" s="392"/>
      <c r="F1792" s="392"/>
      <c r="G1792" s="252" t="str">
        <f t="shared" si="0"/>
        <v/>
      </c>
      <c r="H1792" s="253"/>
    </row>
    <row r="1793" spans="3:10" x14ac:dyDescent="0.25">
      <c r="C1793" s="254" t="str">
        <f t="shared" si="1"/>
        <v/>
      </c>
      <c r="D1793" s="391"/>
      <c r="E1793" s="392"/>
      <c r="F1793" s="392"/>
      <c r="G1793" s="252" t="str">
        <f t="shared" si="0"/>
        <v/>
      </c>
      <c r="H1793" s="253"/>
      <c r="J1793" s="279" t="s">
        <v>139</v>
      </c>
    </row>
    <row r="1794" spans="3:10" x14ac:dyDescent="0.25">
      <c r="C1794" s="280" t="str">
        <f t="shared" si="1"/>
        <v/>
      </c>
      <c r="D1794" s="391"/>
      <c r="E1794" s="392"/>
      <c r="F1794" s="392"/>
      <c r="G1794" s="252" t="str">
        <f t="shared" si="0"/>
        <v/>
      </c>
      <c r="H1794" s="253"/>
      <c r="J1794" s="281" t="s">
        <v>140</v>
      </c>
    </row>
    <row r="1795" spans="3:10" x14ac:dyDescent="0.25">
      <c r="C1795" s="280" t="str">
        <f t="shared" si="1"/>
        <v/>
      </c>
      <c r="D1795" s="391"/>
      <c r="E1795" s="392"/>
      <c r="F1795" s="392"/>
      <c r="G1795" s="252" t="str">
        <f t="shared" si="0"/>
        <v/>
      </c>
      <c r="H1795" s="253"/>
      <c r="J1795" s="281" t="s">
        <v>141</v>
      </c>
    </row>
    <row r="1796" spans="3:10" x14ac:dyDescent="0.25">
      <c r="C1796" s="280" t="str">
        <f t="shared" si="1"/>
        <v/>
      </c>
      <c r="D1796" s="391"/>
      <c r="E1796" s="392"/>
      <c r="F1796" s="392"/>
      <c r="G1796" s="252" t="str">
        <f t="shared" si="0"/>
        <v/>
      </c>
      <c r="H1796" s="253"/>
      <c r="J1796" s="281" t="s">
        <v>142</v>
      </c>
    </row>
    <row r="1797" spans="3:10" x14ac:dyDescent="0.25">
      <c r="C1797" s="280" t="str">
        <f t="shared" si="1"/>
        <v/>
      </c>
      <c r="D1797" s="391"/>
      <c r="E1797" s="392"/>
      <c r="F1797" s="392"/>
      <c r="G1797" s="252" t="str">
        <f t="shared" si="0"/>
        <v/>
      </c>
      <c r="H1797" s="253"/>
    </row>
    <row r="1798" spans="3:10" x14ac:dyDescent="0.25">
      <c r="C1798" s="280" t="str">
        <f t="shared" si="1"/>
        <v/>
      </c>
      <c r="D1798" s="391"/>
      <c r="E1798" s="392"/>
      <c r="F1798" s="392"/>
      <c r="G1798" s="252" t="str">
        <f t="shared" si="0"/>
        <v/>
      </c>
      <c r="H1798" s="253"/>
    </row>
    <row r="1799" spans="3:10" x14ac:dyDescent="0.25">
      <c r="C1799" s="280" t="str">
        <f t="shared" si="1"/>
        <v/>
      </c>
      <c r="D1799" s="391"/>
      <c r="E1799" s="392"/>
      <c r="F1799" s="392"/>
      <c r="G1799" s="252" t="str">
        <f t="shared" si="0"/>
        <v/>
      </c>
      <c r="H1799" s="253"/>
    </row>
    <row r="1800" spans="3:10" x14ac:dyDescent="0.25">
      <c r="C1800" s="280" t="str">
        <f t="shared" si="1"/>
        <v/>
      </c>
      <c r="D1800" s="391"/>
      <c r="E1800" s="392"/>
      <c r="F1800" s="392"/>
      <c r="G1800" s="254" t="str">
        <f t="shared" si="0"/>
        <v/>
      </c>
      <c r="H1800" s="282"/>
    </row>
    <row r="1801" spans="3:10" x14ac:dyDescent="0.25">
      <c r="C1801" s="280" t="str">
        <f t="shared" si="1"/>
        <v/>
      </c>
      <c r="D1801" s="391"/>
      <c r="E1801" s="392"/>
      <c r="F1801" s="392"/>
      <c r="G1801" s="254" t="str">
        <f t="shared" si="0"/>
        <v/>
      </c>
      <c r="H1801" s="282"/>
    </row>
    <row r="1802" spans="3:10" ht="15" customHeight="1" x14ac:dyDescent="0.25">
      <c r="C1802" s="283"/>
      <c r="D1802" s="284"/>
      <c r="E1802" s="285"/>
      <c r="F1802" s="286"/>
      <c r="G1802" s="254"/>
      <c r="H1802" s="282"/>
    </row>
    <row r="1803" spans="3:10" ht="15" customHeight="1" x14ac:dyDescent="0.25">
      <c r="C1803" s="283"/>
      <c r="D1803" s="284"/>
      <c r="E1803" s="285"/>
      <c r="F1803" s="286"/>
      <c r="G1803" s="254"/>
      <c r="H1803" s="282"/>
    </row>
    <row r="1804" spans="3:10" ht="15" customHeight="1" x14ac:dyDescent="0.25">
      <c r="C1804" s="283"/>
      <c r="D1804" s="284"/>
      <c r="E1804" s="285"/>
      <c r="F1804" s="286"/>
      <c r="G1804" s="254"/>
      <c r="H1804" s="282"/>
    </row>
    <row r="1805" spans="3:10" ht="15" customHeight="1" x14ac:dyDescent="0.25">
      <c r="C1805" s="283"/>
      <c r="D1805" s="284"/>
      <c r="E1805" s="285"/>
      <c r="F1805" s="286"/>
      <c r="G1805" s="254"/>
      <c r="H1805" s="282"/>
    </row>
    <row r="1806" spans="3:10" ht="15" customHeight="1" x14ac:dyDescent="0.25">
      <c r="C1806" s="283"/>
      <c r="D1806" s="284"/>
      <c r="E1806" s="285"/>
      <c r="F1806" s="286"/>
      <c r="G1806" s="254"/>
      <c r="H1806" s="282"/>
    </row>
    <row r="1807" spans="3:10" ht="15" customHeight="1" x14ac:dyDescent="0.25">
      <c r="C1807" s="283"/>
      <c r="D1807" s="284"/>
      <c r="E1807" s="285"/>
      <c r="F1807" s="286"/>
      <c r="G1807" s="254"/>
      <c r="H1807" s="282"/>
    </row>
    <row r="1808" spans="3:10" ht="15" customHeight="1" x14ac:dyDescent="0.25">
      <c r="C1808" s="283"/>
      <c r="D1808" s="284"/>
      <c r="E1808" s="285"/>
      <c r="F1808" s="286"/>
      <c r="G1808" s="287"/>
      <c r="H1808" s="255"/>
    </row>
    <row r="1809" spans="3:8" ht="15" customHeight="1" x14ac:dyDescent="0.25">
      <c r="C1809" s="283"/>
      <c r="D1809" s="284"/>
      <c r="E1809" s="285"/>
      <c r="F1809" s="286"/>
      <c r="G1809" s="287"/>
      <c r="H1809" s="255"/>
    </row>
    <row r="1810" spans="3:8" ht="15" customHeight="1" x14ac:dyDescent="0.25">
      <c r="C1810" s="283"/>
      <c r="D1810" s="284"/>
      <c r="E1810" s="285"/>
      <c r="F1810" s="286"/>
      <c r="G1810" s="287"/>
      <c r="H1810" s="255"/>
    </row>
    <row r="1811" spans="3:8" ht="15" customHeight="1" x14ac:dyDescent="0.25">
      <c r="C1811" s="283"/>
      <c r="D1811" s="288"/>
      <c r="E1811" s="289"/>
      <c r="F1811" s="278"/>
      <c r="G1811" s="287"/>
      <c r="H1811" s="255"/>
    </row>
    <row r="1812" spans="3:8" ht="15" customHeight="1" x14ac:dyDescent="0.25">
      <c r="C1812" s="283"/>
      <c r="D1812" s="288"/>
      <c r="E1812" s="289"/>
      <c r="F1812" s="278"/>
      <c r="G1812" s="287"/>
      <c r="H1812" s="255"/>
    </row>
    <row r="1813" spans="3:8" ht="15" customHeight="1" x14ac:dyDescent="0.25">
      <c r="C1813" s="283"/>
      <c r="D1813" s="288"/>
      <c r="E1813" s="289"/>
      <c r="F1813" s="278"/>
      <c r="G1813" s="287"/>
      <c r="H1813" s="255"/>
    </row>
    <row r="1814" spans="3:8" ht="15" customHeight="1" x14ac:dyDescent="0.25">
      <c r="C1814" s="283"/>
      <c r="D1814" s="288"/>
      <c r="E1814" s="289"/>
      <c r="F1814" s="278"/>
      <c r="G1814" s="287"/>
    </row>
    <row r="1815" spans="3:8" ht="15" customHeight="1" x14ac:dyDescent="0.25">
      <c r="C1815" s="283"/>
      <c r="D1815" s="288"/>
      <c r="E1815" s="289"/>
      <c r="F1815" s="278"/>
      <c r="G1815" s="287"/>
    </row>
    <row r="1816" spans="3:8" x14ac:dyDescent="0.25">
      <c r="C1816" s="280"/>
      <c r="D1816" s="278"/>
      <c r="E1816" s="290"/>
      <c r="F1816" s="278"/>
      <c r="G1816" s="287"/>
    </row>
    <row r="1817" spans="3:8" x14ac:dyDescent="0.25">
      <c r="C1817" s="280"/>
      <c r="D1817" s="278"/>
      <c r="E1817" s="280"/>
      <c r="F1817" s="278"/>
      <c r="G1817" s="287"/>
    </row>
    <row r="1818" spans="3:8" x14ac:dyDescent="0.25">
      <c r="G1818" s="287"/>
    </row>
    <row r="1819" spans="3:8" x14ac:dyDescent="0.25">
      <c r="G1819" s="287"/>
    </row>
    <row r="1820" spans="3:8" x14ac:dyDescent="0.25">
      <c r="G1820" s="287"/>
    </row>
    <row r="1821" spans="3:8" x14ac:dyDescent="0.25">
      <c r="G1821" s="287"/>
    </row>
    <row r="1822" spans="3:8" x14ac:dyDescent="0.25">
      <c r="G1822" s="287"/>
    </row>
    <row r="1823" spans="3:8" x14ac:dyDescent="0.25">
      <c r="G1823" s="287"/>
    </row>
    <row r="1824" spans="3:8" x14ac:dyDescent="0.25">
      <c r="G1824" s="287"/>
    </row>
    <row r="1825" spans="7:7" x14ac:dyDescent="0.25">
      <c r="G1825" s="287"/>
    </row>
    <row r="1826" spans="7:7" x14ac:dyDescent="0.25">
      <c r="G1826" s="287"/>
    </row>
    <row r="1827" spans="7:7" x14ac:dyDescent="0.25">
      <c r="G1827" s="287"/>
    </row>
    <row r="1828" spans="7:7" x14ac:dyDescent="0.25">
      <c r="G1828" s="287"/>
    </row>
    <row r="1829" spans="7:7" x14ac:dyDescent="0.25">
      <c r="G1829" s="287"/>
    </row>
    <row r="1880" ht="22.5" customHeight="1" x14ac:dyDescent="0.25"/>
    <row r="1881" ht="22.5" customHeight="1" x14ac:dyDescent="0.25"/>
    <row r="1882" ht="22.5" customHeight="1" x14ac:dyDescent="0.25"/>
    <row r="1883" ht="22.5" customHeight="1" x14ac:dyDescent="0.25"/>
    <row r="1884" ht="22.5" customHeight="1" x14ac:dyDescent="0.25"/>
    <row r="1885" ht="22.5" customHeight="1" x14ac:dyDescent="0.25"/>
  </sheetData>
  <mergeCells count="7788">
    <mergeCell ref="K1645:L1645"/>
    <mergeCell ref="K1646:L1646"/>
    <mergeCell ref="K1644:L1644"/>
    <mergeCell ref="I1407:J1407"/>
    <mergeCell ref="C1411:D1411"/>
    <mergeCell ref="E1411:F1411"/>
    <mergeCell ref="G1411:H1411"/>
    <mergeCell ref="I1411:J1411"/>
    <mergeCell ref="K1411:L1411"/>
    <mergeCell ref="C1392:D1392"/>
    <mergeCell ref="E1392:F1392"/>
    <mergeCell ref="G1392:H1392"/>
    <mergeCell ref="I1392:J1392"/>
    <mergeCell ref="K1392:L1392"/>
    <mergeCell ref="C1393:D1393"/>
    <mergeCell ref="E1393:F1393"/>
    <mergeCell ref="G1393:H1393"/>
    <mergeCell ref="I1393:J1393"/>
    <mergeCell ref="K1393:L1393"/>
    <mergeCell ref="K1395:L1395"/>
    <mergeCell ref="C1394:D1394"/>
    <mergeCell ref="E1397:F1397"/>
    <mergeCell ref="G1397:H1397"/>
    <mergeCell ref="I1397:J1397"/>
    <mergeCell ref="K1397:L1397"/>
    <mergeCell ref="C1398:D1398"/>
    <mergeCell ref="E1398:F1398"/>
    <mergeCell ref="G1398:H1398"/>
    <mergeCell ref="I1398:J1398"/>
    <mergeCell ref="K1398:L1398"/>
    <mergeCell ref="C1397:D1397"/>
    <mergeCell ref="K1405:L1405"/>
    <mergeCell ref="I1415:J1415"/>
    <mergeCell ref="K1412:L1412"/>
    <mergeCell ref="B1410:B1416"/>
    <mergeCell ref="K1401:L1401"/>
    <mergeCell ref="C1402:D1402"/>
    <mergeCell ref="E1402:F1402"/>
    <mergeCell ref="G1402:H1402"/>
    <mergeCell ref="I1402:J1402"/>
    <mergeCell ref="K1402:L1402"/>
    <mergeCell ref="C1401:D1401"/>
    <mergeCell ref="E1401:F1401"/>
    <mergeCell ref="G1401:H1401"/>
    <mergeCell ref="I1401:J1401"/>
    <mergeCell ref="I1427:J1427"/>
    <mergeCell ref="K1427:L1427"/>
    <mergeCell ref="I1428:J1428"/>
    <mergeCell ref="K1428:L1428"/>
    <mergeCell ref="K1425:L1425"/>
    <mergeCell ref="C1408:D1408"/>
    <mergeCell ref="E1408:F1408"/>
    <mergeCell ref="G1408:H1408"/>
    <mergeCell ref="I1408:J1408"/>
    <mergeCell ref="K1408:L1408"/>
    <mergeCell ref="C1409:D1409"/>
    <mergeCell ref="E1409:F1409"/>
    <mergeCell ref="G1409:H1409"/>
    <mergeCell ref="I1409:J1409"/>
    <mergeCell ref="K1409:L1409"/>
    <mergeCell ref="K1406:L1406"/>
    <mergeCell ref="C1407:D1407"/>
    <mergeCell ref="E1407:F1407"/>
    <mergeCell ref="G1407:H1407"/>
    <mergeCell ref="G1412:H1412"/>
    <mergeCell ref="I1412:J1412"/>
    <mergeCell ref="I1391:J1391"/>
    <mergeCell ref="K1391:L1391"/>
    <mergeCell ref="C1388:D1388"/>
    <mergeCell ref="E1388:F1388"/>
    <mergeCell ref="G1388:H1388"/>
    <mergeCell ref="I1388:J1388"/>
    <mergeCell ref="K1388:L1388"/>
    <mergeCell ref="B1403:B1409"/>
    <mergeCell ref="C1404:D1404"/>
    <mergeCell ref="E1404:F1404"/>
    <mergeCell ref="G1404:H1404"/>
    <mergeCell ref="I1404:J1404"/>
    <mergeCell ref="C1406:D1406"/>
    <mergeCell ref="E1406:F1406"/>
    <mergeCell ref="G1406:H1406"/>
    <mergeCell ref="I1406:J1406"/>
    <mergeCell ref="C1399:D1399"/>
    <mergeCell ref="E1399:F1399"/>
    <mergeCell ref="G1399:H1399"/>
    <mergeCell ref="I1399:J1399"/>
    <mergeCell ref="K1399:L1399"/>
    <mergeCell ref="C1400:D1400"/>
    <mergeCell ref="E1400:F1400"/>
    <mergeCell ref="G1400:H1400"/>
    <mergeCell ref="I1400:J1400"/>
    <mergeCell ref="K1400:L1400"/>
    <mergeCell ref="K1407:L1407"/>
    <mergeCell ref="K1404:L1404"/>
    <mergeCell ref="C1405:D1405"/>
    <mergeCell ref="E1405:F1405"/>
    <mergeCell ref="G1405:H1405"/>
    <mergeCell ref="I1405:J1405"/>
    <mergeCell ref="G1378:H1378"/>
    <mergeCell ref="I1378:J1378"/>
    <mergeCell ref="K1378:L1378"/>
    <mergeCell ref="C1379:D1379"/>
    <mergeCell ref="E1379:F1379"/>
    <mergeCell ref="G1379:H1379"/>
    <mergeCell ref="I1379:J1379"/>
    <mergeCell ref="A1382:A1388"/>
    <mergeCell ref="B1382:B1388"/>
    <mergeCell ref="C1383:D1383"/>
    <mergeCell ref="E1383:F1383"/>
    <mergeCell ref="G1383:H1383"/>
    <mergeCell ref="C1385:D1385"/>
    <mergeCell ref="E1385:F1385"/>
    <mergeCell ref="G1385:H1385"/>
    <mergeCell ref="B1389:B1402"/>
    <mergeCell ref="E1394:F1394"/>
    <mergeCell ref="G1394:H1394"/>
    <mergeCell ref="I1394:J1394"/>
    <mergeCell ref="K1394:L1394"/>
    <mergeCell ref="C1395:D1395"/>
    <mergeCell ref="E1395:F1395"/>
    <mergeCell ref="G1395:H1395"/>
    <mergeCell ref="I1395:J1395"/>
    <mergeCell ref="C1390:D1390"/>
    <mergeCell ref="E1390:F1390"/>
    <mergeCell ref="G1390:H1390"/>
    <mergeCell ref="I1390:J1390"/>
    <mergeCell ref="K1390:L1390"/>
    <mergeCell ref="C1391:D1391"/>
    <mergeCell ref="E1391:F1391"/>
    <mergeCell ref="G1391:H1391"/>
    <mergeCell ref="C1386:D1386"/>
    <mergeCell ref="E1386:F1386"/>
    <mergeCell ref="G1386:H1386"/>
    <mergeCell ref="I1386:J1386"/>
    <mergeCell ref="K1386:L1386"/>
    <mergeCell ref="I1383:J1383"/>
    <mergeCell ref="K1383:L1383"/>
    <mergeCell ref="C1384:D1384"/>
    <mergeCell ref="E1384:F1384"/>
    <mergeCell ref="G1384:H1384"/>
    <mergeCell ref="I1384:J1384"/>
    <mergeCell ref="K1384:L1384"/>
    <mergeCell ref="C1381:D1381"/>
    <mergeCell ref="E1381:F1381"/>
    <mergeCell ref="G1381:H1381"/>
    <mergeCell ref="I1381:J1381"/>
    <mergeCell ref="K1381:L1381"/>
    <mergeCell ref="A1375:A1381"/>
    <mergeCell ref="B1375:B1381"/>
    <mergeCell ref="C1376:D1376"/>
    <mergeCell ref="E1376:F1376"/>
    <mergeCell ref="G1376:H1376"/>
    <mergeCell ref="C1374:D1374"/>
    <mergeCell ref="E1374:F1374"/>
    <mergeCell ref="G1374:H1374"/>
    <mergeCell ref="I1374:J1374"/>
    <mergeCell ref="K1374:L1374"/>
    <mergeCell ref="C1387:D1387"/>
    <mergeCell ref="E1387:F1387"/>
    <mergeCell ref="G1387:H1387"/>
    <mergeCell ref="I1387:J1387"/>
    <mergeCell ref="K1387:L1387"/>
    <mergeCell ref="C1378:D1378"/>
    <mergeCell ref="E1378:F1378"/>
    <mergeCell ref="C1380:D1380"/>
    <mergeCell ref="E1380:F1380"/>
    <mergeCell ref="G1380:H1380"/>
    <mergeCell ref="I1380:J1380"/>
    <mergeCell ref="K1380:L1380"/>
    <mergeCell ref="K1379:L1379"/>
    <mergeCell ref="I1376:J1376"/>
    <mergeCell ref="K1376:L1376"/>
    <mergeCell ref="C1377:D1377"/>
    <mergeCell ref="E1377:F1377"/>
    <mergeCell ref="G1377:H1377"/>
    <mergeCell ref="I1377:J1377"/>
    <mergeCell ref="K1377:L1377"/>
    <mergeCell ref="I1385:J1385"/>
    <mergeCell ref="K1385:L1385"/>
    <mergeCell ref="E1369:F1369"/>
    <mergeCell ref="G1369:H1369"/>
    <mergeCell ref="I1369:J1369"/>
    <mergeCell ref="K1369:L1369"/>
    <mergeCell ref="C1372:D1372"/>
    <mergeCell ref="E1372:F1372"/>
    <mergeCell ref="G1372:H1372"/>
    <mergeCell ref="I1372:J1372"/>
    <mergeCell ref="K1372:L1372"/>
    <mergeCell ref="C1373:D1373"/>
    <mergeCell ref="E1373:F1373"/>
    <mergeCell ref="G1373:H1373"/>
    <mergeCell ref="I1373:J1373"/>
    <mergeCell ref="K1373:L1373"/>
    <mergeCell ref="C1371:D1371"/>
    <mergeCell ref="E1371:F1371"/>
    <mergeCell ref="G1371:H1371"/>
    <mergeCell ref="I1371:J1371"/>
    <mergeCell ref="K1371:L1371"/>
    <mergeCell ref="C1366:D1366"/>
    <mergeCell ref="E1366:F1366"/>
    <mergeCell ref="G1366:H1366"/>
    <mergeCell ref="I1366:J1366"/>
    <mergeCell ref="K1366:L1366"/>
    <mergeCell ref="K1363:L1363"/>
    <mergeCell ref="C1364:D1364"/>
    <mergeCell ref="E1364:F1364"/>
    <mergeCell ref="G1364:H1364"/>
    <mergeCell ref="I1364:J1364"/>
    <mergeCell ref="K1364:L1364"/>
    <mergeCell ref="B1361:B1374"/>
    <mergeCell ref="C1362:D1362"/>
    <mergeCell ref="E1362:F1362"/>
    <mergeCell ref="G1362:H1362"/>
    <mergeCell ref="I1362:J1362"/>
    <mergeCell ref="K1362:L1362"/>
    <mergeCell ref="C1363:D1363"/>
    <mergeCell ref="E1363:F1363"/>
    <mergeCell ref="G1363:H1363"/>
    <mergeCell ref="I1363:J1363"/>
    <mergeCell ref="C1370:D1370"/>
    <mergeCell ref="E1370:F1370"/>
    <mergeCell ref="G1370:H1370"/>
    <mergeCell ref="I1370:J1370"/>
    <mergeCell ref="K1370:L1370"/>
    <mergeCell ref="C1367:D1367"/>
    <mergeCell ref="E1367:F1367"/>
    <mergeCell ref="G1367:H1367"/>
    <mergeCell ref="I1367:J1367"/>
    <mergeCell ref="K1367:L1367"/>
    <mergeCell ref="C1369:D1369"/>
    <mergeCell ref="K1360:L1360"/>
    <mergeCell ref="K1357:L1357"/>
    <mergeCell ref="C1358:D1358"/>
    <mergeCell ref="E1358:F1358"/>
    <mergeCell ref="G1358:H1358"/>
    <mergeCell ref="I1358:J1358"/>
    <mergeCell ref="K1358:L1358"/>
    <mergeCell ref="K1355:L1355"/>
    <mergeCell ref="C1356:D1356"/>
    <mergeCell ref="E1356:F1356"/>
    <mergeCell ref="G1356:H1356"/>
    <mergeCell ref="I1356:J1356"/>
    <mergeCell ref="K1356:L1356"/>
    <mergeCell ref="C1365:D1365"/>
    <mergeCell ref="E1365:F1365"/>
    <mergeCell ref="G1365:H1365"/>
    <mergeCell ref="I1365:J1365"/>
    <mergeCell ref="K1365:L1365"/>
    <mergeCell ref="G1349:H1349"/>
    <mergeCell ref="I1349:J1349"/>
    <mergeCell ref="K1349:L1349"/>
    <mergeCell ref="A1354:A1360"/>
    <mergeCell ref="B1354:B1360"/>
    <mergeCell ref="C1355:D1355"/>
    <mergeCell ref="E1355:F1355"/>
    <mergeCell ref="G1355:H1355"/>
    <mergeCell ref="I1355:J1355"/>
    <mergeCell ref="C1357:D1357"/>
    <mergeCell ref="E1357:F1357"/>
    <mergeCell ref="G1357:H1357"/>
    <mergeCell ref="I1357:J1357"/>
    <mergeCell ref="C1352:D1352"/>
    <mergeCell ref="E1352:F1352"/>
    <mergeCell ref="G1352:H1352"/>
    <mergeCell ref="I1352:J1352"/>
    <mergeCell ref="K1352:L1352"/>
    <mergeCell ref="C1353:D1353"/>
    <mergeCell ref="E1353:F1353"/>
    <mergeCell ref="G1353:H1353"/>
    <mergeCell ref="I1353:J1353"/>
    <mergeCell ref="K1353:L1353"/>
    <mergeCell ref="C1359:D1359"/>
    <mergeCell ref="E1359:F1359"/>
    <mergeCell ref="G1359:H1359"/>
    <mergeCell ref="I1359:J1359"/>
    <mergeCell ref="K1359:L1359"/>
    <mergeCell ref="C1360:D1360"/>
    <mergeCell ref="E1360:F1360"/>
    <mergeCell ref="G1360:H1360"/>
    <mergeCell ref="I1360:J1360"/>
    <mergeCell ref="G1346:H1346"/>
    <mergeCell ref="I1346:J1346"/>
    <mergeCell ref="K1346:L1346"/>
    <mergeCell ref="A1347:A1353"/>
    <mergeCell ref="B1347:B1353"/>
    <mergeCell ref="C1348:D1348"/>
    <mergeCell ref="E1348:F1348"/>
    <mergeCell ref="G1348:H1348"/>
    <mergeCell ref="C1344:D1344"/>
    <mergeCell ref="E1344:F1344"/>
    <mergeCell ref="G1344:H1344"/>
    <mergeCell ref="I1344:J1344"/>
    <mergeCell ref="K1344:L1344"/>
    <mergeCell ref="C1345:D1345"/>
    <mergeCell ref="E1345:F1345"/>
    <mergeCell ref="G1345:H1345"/>
    <mergeCell ref="I1345:J1345"/>
    <mergeCell ref="K1345:L1345"/>
    <mergeCell ref="C1350:D1350"/>
    <mergeCell ref="E1350:F1350"/>
    <mergeCell ref="G1350:H1350"/>
    <mergeCell ref="I1350:J1350"/>
    <mergeCell ref="K1350:L1350"/>
    <mergeCell ref="C1351:D1351"/>
    <mergeCell ref="E1351:F1351"/>
    <mergeCell ref="G1351:H1351"/>
    <mergeCell ref="I1351:J1351"/>
    <mergeCell ref="K1351:L1351"/>
    <mergeCell ref="I1348:J1348"/>
    <mergeCell ref="K1348:L1348"/>
    <mergeCell ref="C1349:D1349"/>
    <mergeCell ref="E1349:F1349"/>
    <mergeCell ref="B1333:B1346"/>
    <mergeCell ref="C1334:D1334"/>
    <mergeCell ref="E1334:F1334"/>
    <mergeCell ref="G1334:H1334"/>
    <mergeCell ref="I1334:J1334"/>
    <mergeCell ref="K1334:L1334"/>
    <mergeCell ref="C1335:D1335"/>
    <mergeCell ref="E1335:F1335"/>
    <mergeCell ref="G1335:H1335"/>
    <mergeCell ref="I1335:J1335"/>
    <mergeCell ref="C1342:D1342"/>
    <mergeCell ref="E1342:F1342"/>
    <mergeCell ref="G1342:H1342"/>
    <mergeCell ref="I1342:J1342"/>
    <mergeCell ref="K1342:L1342"/>
    <mergeCell ref="C1343:D1343"/>
    <mergeCell ref="E1343:F1343"/>
    <mergeCell ref="G1343:H1343"/>
    <mergeCell ref="I1343:J1343"/>
    <mergeCell ref="K1343:L1343"/>
    <mergeCell ref="C1339:D1339"/>
    <mergeCell ref="E1339:F1339"/>
    <mergeCell ref="G1339:H1339"/>
    <mergeCell ref="I1339:J1339"/>
    <mergeCell ref="K1339:L1339"/>
    <mergeCell ref="C1341:D1341"/>
    <mergeCell ref="E1341:F1341"/>
    <mergeCell ref="G1341:H1341"/>
    <mergeCell ref="I1341:J1341"/>
    <mergeCell ref="K1341:L1341"/>
    <mergeCell ref="C1346:D1346"/>
    <mergeCell ref="E1346:F1346"/>
    <mergeCell ref="E1330:F1330"/>
    <mergeCell ref="G1330:H1330"/>
    <mergeCell ref="I1330:J1330"/>
    <mergeCell ref="K1330:L1330"/>
    <mergeCell ref="K1327:L1327"/>
    <mergeCell ref="C1328:D1328"/>
    <mergeCell ref="E1328:F1328"/>
    <mergeCell ref="G1328:H1328"/>
    <mergeCell ref="I1328:J1328"/>
    <mergeCell ref="K1328:L1328"/>
    <mergeCell ref="C1337:D1337"/>
    <mergeCell ref="E1337:F1337"/>
    <mergeCell ref="G1337:H1337"/>
    <mergeCell ref="I1337:J1337"/>
    <mergeCell ref="K1337:L1337"/>
    <mergeCell ref="C1338:D1338"/>
    <mergeCell ref="E1338:F1338"/>
    <mergeCell ref="G1338:H1338"/>
    <mergeCell ref="I1338:J1338"/>
    <mergeCell ref="K1338:L1338"/>
    <mergeCell ref="K1335:L1335"/>
    <mergeCell ref="C1336:D1336"/>
    <mergeCell ref="E1336:F1336"/>
    <mergeCell ref="G1336:H1336"/>
    <mergeCell ref="I1336:J1336"/>
    <mergeCell ref="K1336:L1336"/>
    <mergeCell ref="A1326:A1332"/>
    <mergeCell ref="B1326:B1332"/>
    <mergeCell ref="C1327:D1327"/>
    <mergeCell ref="E1327:F1327"/>
    <mergeCell ref="G1327:H1327"/>
    <mergeCell ref="I1327:J1327"/>
    <mergeCell ref="C1329:D1329"/>
    <mergeCell ref="E1329:F1329"/>
    <mergeCell ref="G1329:H1329"/>
    <mergeCell ref="I1329:J1329"/>
    <mergeCell ref="C1324:D1324"/>
    <mergeCell ref="E1324:F1324"/>
    <mergeCell ref="G1324:H1324"/>
    <mergeCell ref="I1324:J1324"/>
    <mergeCell ref="K1324:L1324"/>
    <mergeCell ref="C1325:D1325"/>
    <mergeCell ref="E1325:F1325"/>
    <mergeCell ref="G1325:H1325"/>
    <mergeCell ref="I1325:J1325"/>
    <mergeCell ref="K1325:L1325"/>
    <mergeCell ref="C1331:D1331"/>
    <mergeCell ref="E1331:F1331"/>
    <mergeCell ref="G1331:H1331"/>
    <mergeCell ref="I1331:J1331"/>
    <mergeCell ref="K1331:L1331"/>
    <mergeCell ref="C1332:D1332"/>
    <mergeCell ref="E1332:F1332"/>
    <mergeCell ref="G1332:H1332"/>
    <mergeCell ref="I1332:J1332"/>
    <mergeCell ref="K1332:L1332"/>
    <mergeCell ref="K1329:L1329"/>
    <mergeCell ref="C1330:D1330"/>
    <mergeCell ref="A1319:A1325"/>
    <mergeCell ref="B1319:B1325"/>
    <mergeCell ref="C1320:D1320"/>
    <mergeCell ref="E1320:F1320"/>
    <mergeCell ref="G1320:H1320"/>
    <mergeCell ref="C1316:D1316"/>
    <mergeCell ref="E1316:F1316"/>
    <mergeCell ref="G1316:H1316"/>
    <mergeCell ref="I1316:J1316"/>
    <mergeCell ref="K1316:L1316"/>
    <mergeCell ref="C1317:D1317"/>
    <mergeCell ref="E1317:F1317"/>
    <mergeCell ref="G1317:H1317"/>
    <mergeCell ref="I1317:J1317"/>
    <mergeCell ref="K1317:L1317"/>
    <mergeCell ref="C1322:D1322"/>
    <mergeCell ref="E1322:F1322"/>
    <mergeCell ref="G1322:H1322"/>
    <mergeCell ref="I1322:J1322"/>
    <mergeCell ref="K1322:L1322"/>
    <mergeCell ref="C1323:D1323"/>
    <mergeCell ref="E1323:F1323"/>
    <mergeCell ref="G1323:H1323"/>
    <mergeCell ref="I1323:J1323"/>
    <mergeCell ref="K1323:L1323"/>
    <mergeCell ref="I1320:J1320"/>
    <mergeCell ref="K1320:L1320"/>
    <mergeCell ref="C1321:D1321"/>
    <mergeCell ref="E1321:F1321"/>
    <mergeCell ref="G1321:H1321"/>
    <mergeCell ref="I1321:J1321"/>
    <mergeCell ref="K1321:L1321"/>
    <mergeCell ref="K1314:L1314"/>
    <mergeCell ref="C1315:D1315"/>
    <mergeCell ref="E1315:F1315"/>
    <mergeCell ref="G1315:H1315"/>
    <mergeCell ref="I1315:J1315"/>
    <mergeCell ref="K1315:L1315"/>
    <mergeCell ref="B1312:B1318"/>
    <mergeCell ref="C1313:D1313"/>
    <mergeCell ref="E1313:F1313"/>
    <mergeCell ref="G1313:H1313"/>
    <mergeCell ref="I1313:J1313"/>
    <mergeCell ref="K1313:L1313"/>
    <mergeCell ref="C1314:D1314"/>
    <mergeCell ref="E1314:F1314"/>
    <mergeCell ref="G1314:H1314"/>
    <mergeCell ref="I1314:J1314"/>
    <mergeCell ref="C1310:D1310"/>
    <mergeCell ref="E1310:F1310"/>
    <mergeCell ref="G1310:H1310"/>
    <mergeCell ref="I1310:J1310"/>
    <mergeCell ref="K1310:L1310"/>
    <mergeCell ref="C1311:D1311"/>
    <mergeCell ref="E1311:F1311"/>
    <mergeCell ref="G1311:H1311"/>
    <mergeCell ref="I1311:J1311"/>
    <mergeCell ref="K1311:L1311"/>
    <mergeCell ref="C1318:D1318"/>
    <mergeCell ref="E1318:F1318"/>
    <mergeCell ref="G1318:H1318"/>
    <mergeCell ref="I1318:J1318"/>
    <mergeCell ref="K1318:L1318"/>
    <mergeCell ref="E1302:F1302"/>
    <mergeCell ref="G1302:H1302"/>
    <mergeCell ref="I1302:J1302"/>
    <mergeCell ref="K1302:L1302"/>
    <mergeCell ref="K1299:L1299"/>
    <mergeCell ref="C1300:D1300"/>
    <mergeCell ref="E1300:F1300"/>
    <mergeCell ref="G1300:H1300"/>
    <mergeCell ref="I1300:J1300"/>
    <mergeCell ref="K1300:L1300"/>
    <mergeCell ref="C1308:D1308"/>
    <mergeCell ref="E1308:F1308"/>
    <mergeCell ref="G1308:H1308"/>
    <mergeCell ref="I1308:J1308"/>
    <mergeCell ref="K1308:L1308"/>
    <mergeCell ref="C1309:D1309"/>
    <mergeCell ref="E1309:F1309"/>
    <mergeCell ref="G1309:H1309"/>
    <mergeCell ref="I1309:J1309"/>
    <mergeCell ref="K1309:L1309"/>
    <mergeCell ref="C1306:D1306"/>
    <mergeCell ref="E1306:F1306"/>
    <mergeCell ref="G1306:H1306"/>
    <mergeCell ref="I1306:J1306"/>
    <mergeCell ref="K1306:L1306"/>
    <mergeCell ref="C1307:D1307"/>
    <mergeCell ref="E1307:F1307"/>
    <mergeCell ref="G1307:H1307"/>
    <mergeCell ref="I1307:J1307"/>
    <mergeCell ref="K1307:L1307"/>
    <mergeCell ref="A1298:A1304"/>
    <mergeCell ref="B1298:B1311"/>
    <mergeCell ref="C1299:D1299"/>
    <mergeCell ref="E1299:F1299"/>
    <mergeCell ref="G1299:H1299"/>
    <mergeCell ref="I1299:J1299"/>
    <mergeCell ref="C1301:D1301"/>
    <mergeCell ref="E1301:F1301"/>
    <mergeCell ref="G1301:H1301"/>
    <mergeCell ref="I1301:J1301"/>
    <mergeCell ref="C1296:D1296"/>
    <mergeCell ref="E1296:F1296"/>
    <mergeCell ref="G1296:H1296"/>
    <mergeCell ref="I1296:J1296"/>
    <mergeCell ref="K1296:L1296"/>
    <mergeCell ref="C1297:D1297"/>
    <mergeCell ref="E1297:F1297"/>
    <mergeCell ref="G1297:H1297"/>
    <mergeCell ref="I1297:J1297"/>
    <mergeCell ref="K1297:L1297"/>
    <mergeCell ref="C1303:D1303"/>
    <mergeCell ref="E1303:F1303"/>
    <mergeCell ref="G1303:H1303"/>
    <mergeCell ref="I1303:J1303"/>
    <mergeCell ref="K1303:L1303"/>
    <mergeCell ref="C1304:D1304"/>
    <mergeCell ref="E1304:F1304"/>
    <mergeCell ref="G1304:H1304"/>
    <mergeCell ref="I1304:J1304"/>
    <mergeCell ref="K1304:L1304"/>
    <mergeCell ref="K1301:L1301"/>
    <mergeCell ref="C1302:D1302"/>
    <mergeCell ref="A1291:A1297"/>
    <mergeCell ref="B1291:B1297"/>
    <mergeCell ref="C1292:D1292"/>
    <mergeCell ref="E1292:F1292"/>
    <mergeCell ref="G1292:H1292"/>
    <mergeCell ref="C1288:D1288"/>
    <mergeCell ref="E1288:F1288"/>
    <mergeCell ref="G1288:H1288"/>
    <mergeCell ref="I1288:J1288"/>
    <mergeCell ref="K1288:L1288"/>
    <mergeCell ref="C1289:D1289"/>
    <mergeCell ref="E1289:F1289"/>
    <mergeCell ref="G1289:H1289"/>
    <mergeCell ref="I1289:J1289"/>
    <mergeCell ref="K1289:L1289"/>
    <mergeCell ref="C1294:D1294"/>
    <mergeCell ref="E1294:F1294"/>
    <mergeCell ref="G1294:H1294"/>
    <mergeCell ref="I1294:J1294"/>
    <mergeCell ref="K1294:L1294"/>
    <mergeCell ref="C1295:D1295"/>
    <mergeCell ref="E1295:F1295"/>
    <mergeCell ref="G1295:H1295"/>
    <mergeCell ref="I1295:J1295"/>
    <mergeCell ref="K1295:L1295"/>
    <mergeCell ref="I1292:J1292"/>
    <mergeCell ref="K1292:L1292"/>
    <mergeCell ref="C1293:D1293"/>
    <mergeCell ref="E1293:F1293"/>
    <mergeCell ref="G1293:H1293"/>
    <mergeCell ref="I1293:J1293"/>
    <mergeCell ref="K1293:L1293"/>
    <mergeCell ref="K1286:L1286"/>
    <mergeCell ref="C1287:D1287"/>
    <mergeCell ref="E1287:F1287"/>
    <mergeCell ref="G1287:H1287"/>
    <mergeCell ref="I1287:J1287"/>
    <mergeCell ref="K1287:L1287"/>
    <mergeCell ref="B1284:B1290"/>
    <mergeCell ref="C1285:D1285"/>
    <mergeCell ref="E1285:F1285"/>
    <mergeCell ref="G1285:H1285"/>
    <mergeCell ref="I1285:J1285"/>
    <mergeCell ref="K1285:L1285"/>
    <mergeCell ref="C1286:D1286"/>
    <mergeCell ref="E1286:F1286"/>
    <mergeCell ref="G1286:H1286"/>
    <mergeCell ref="I1286:J1286"/>
    <mergeCell ref="C1282:D1282"/>
    <mergeCell ref="E1282:F1282"/>
    <mergeCell ref="G1282:H1282"/>
    <mergeCell ref="I1282:J1282"/>
    <mergeCell ref="K1282:L1282"/>
    <mergeCell ref="C1283:D1283"/>
    <mergeCell ref="E1283:F1283"/>
    <mergeCell ref="G1283:H1283"/>
    <mergeCell ref="I1283:J1283"/>
    <mergeCell ref="K1283:L1283"/>
    <mergeCell ref="C1290:D1290"/>
    <mergeCell ref="E1290:F1290"/>
    <mergeCell ref="G1290:H1290"/>
    <mergeCell ref="I1290:J1290"/>
    <mergeCell ref="K1290:L1290"/>
    <mergeCell ref="E1274:F1274"/>
    <mergeCell ref="G1274:H1274"/>
    <mergeCell ref="I1274:J1274"/>
    <mergeCell ref="K1274:L1274"/>
    <mergeCell ref="K1271:L1271"/>
    <mergeCell ref="C1272:D1272"/>
    <mergeCell ref="E1272:F1272"/>
    <mergeCell ref="G1272:H1272"/>
    <mergeCell ref="I1272:J1272"/>
    <mergeCell ref="K1272:L1272"/>
    <mergeCell ref="C1280:D1280"/>
    <mergeCell ref="E1280:F1280"/>
    <mergeCell ref="G1280:H1280"/>
    <mergeCell ref="I1280:J1280"/>
    <mergeCell ref="K1280:L1280"/>
    <mergeCell ref="C1281:D1281"/>
    <mergeCell ref="E1281:F1281"/>
    <mergeCell ref="G1281:H1281"/>
    <mergeCell ref="I1281:J1281"/>
    <mergeCell ref="K1281:L1281"/>
    <mergeCell ref="C1278:D1278"/>
    <mergeCell ref="E1278:F1278"/>
    <mergeCell ref="G1278:H1278"/>
    <mergeCell ref="I1278:J1278"/>
    <mergeCell ref="K1278:L1278"/>
    <mergeCell ref="C1279:D1279"/>
    <mergeCell ref="E1279:F1279"/>
    <mergeCell ref="G1279:H1279"/>
    <mergeCell ref="I1279:J1279"/>
    <mergeCell ref="K1279:L1279"/>
    <mergeCell ref="A1270:A1276"/>
    <mergeCell ref="B1270:B1283"/>
    <mergeCell ref="C1271:D1271"/>
    <mergeCell ref="E1271:F1271"/>
    <mergeCell ref="G1271:H1271"/>
    <mergeCell ref="I1271:J1271"/>
    <mergeCell ref="C1273:D1273"/>
    <mergeCell ref="E1273:F1273"/>
    <mergeCell ref="G1273:H1273"/>
    <mergeCell ref="I1273:J1273"/>
    <mergeCell ref="C1268:D1268"/>
    <mergeCell ref="E1268:F1268"/>
    <mergeCell ref="G1268:H1268"/>
    <mergeCell ref="I1268:J1268"/>
    <mergeCell ref="K1268:L1268"/>
    <mergeCell ref="C1269:D1269"/>
    <mergeCell ref="E1269:F1269"/>
    <mergeCell ref="G1269:H1269"/>
    <mergeCell ref="I1269:J1269"/>
    <mergeCell ref="K1269:L1269"/>
    <mergeCell ref="C1275:D1275"/>
    <mergeCell ref="E1275:F1275"/>
    <mergeCell ref="G1275:H1275"/>
    <mergeCell ref="I1275:J1275"/>
    <mergeCell ref="K1275:L1275"/>
    <mergeCell ref="C1276:D1276"/>
    <mergeCell ref="E1276:F1276"/>
    <mergeCell ref="G1276:H1276"/>
    <mergeCell ref="I1276:J1276"/>
    <mergeCell ref="K1276:L1276"/>
    <mergeCell ref="K1273:L1273"/>
    <mergeCell ref="C1274:D1274"/>
    <mergeCell ref="A1263:A1269"/>
    <mergeCell ref="B1263:B1269"/>
    <mergeCell ref="C1264:D1264"/>
    <mergeCell ref="E1264:F1264"/>
    <mergeCell ref="G1264:H1264"/>
    <mergeCell ref="C1260:D1260"/>
    <mergeCell ref="E1260:F1260"/>
    <mergeCell ref="G1260:H1260"/>
    <mergeCell ref="I1260:J1260"/>
    <mergeCell ref="K1260:L1260"/>
    <mergeCell ref="C1261:D1261"/>
    <mergeCell ref="E1261:F1261"/>
    <mergeCell ref="G1261:H1261"/>
    <mergeCell ref="I1261:J1261"/>
    <mergeCell ref="K1261:L1261"/>
    <mergeCell ref="C1266:D1266"/>
    <mergeCell ref="E1266:F1266"/>
    <mergeCell ref="G1266:H1266"/>
    <mergeCell ref="I1266:J1266"/>
    <mergeCell ref="K1266:L1266"/>
    <mergeCell ref="C1267:D1267"/>
    <mergeCell ref="E1267:F1267"/>
    <mergeCell ref="G1267:H1267"/>
    <mergeCell ref="I1267:J1267"/>
    <mergeCell ref="K1267:L1267"/>
    <mergeCell ref="I1264:J1264"/>
    <mergeCell ref="K1264:L1264"/>
    <mergeCell ref="C1265:D1265"/>
    <mergeCell ref="E1265:F1265"/>
    <mergeCell ref="G1265:H1265"/>
    <mergeCell ref="I1265:J1265"/>
    <mergeCell ref="K1265:L1265"/>
    <mergeCell ref="K1258:L1258"/>
    <mergeCell ref="C1259:D1259"/>
    <mergeCell ref="E1259:F1259"/>
    <mergeCell ref="G1259:H1259"/>
    <mergeCell ref="I1259:J1259"/>
    <mergeCell ref="K1259:L1259"/>
    <mergeCell ref="B1256:B1262"/>
    <mergeCell ref="C1257:D1257"/>
    <mergeCell ref="E1257:F1257"/>
    <mergeCell ref="G1257:H1257"/>
    <mergeCell ref="I1257:J1257"/>
    <mergeCell ref="K1257:L1257"/>
    <mergeCell ref="C1258:D1258"/>
    <mergeCell ref="E1258:F1258"/>
    <mergeCell ref="G1258:H1258"/>
    <mergeCell ref="I1258:J1258"/>
    <mergeCell ref="C1254:D1254"/>
    <mergeCell ref="E1254:F1254"/>
    <mergeCell ref="G1254:H1254"/>
    <mergeCell ref="I1254:J1254"/>
    <mergeCell ref="K1254:L1254"/>
    <mergeCell ref="C1255:D1255"/>
    <mergeCell ref="E1255:F1255"/>
    <mergeCell ref="G1255:H1255"/>
    <mergeCell ref="I1255:J1255"/>
    <mergeCell ref="K1255:L1255"/>
    <mergeCell ref="B1249:B1255"/>
    <mergeCell ref="C1262:D1262"/>
    <mergeCell ref="E1262:F1262"/>
    <mergeCell ref="G1262:H1262"/>
    <mergeCell ref="I1262:J1262"/>
    <mergeCell ref="K1262:L1262"/>
    <mergeCell ref="C1252:D1252"/>
    <mergeCell ref="E1252:F1252"/>
    <mergeCell ref="G1252:H1252"/>
    <mergeCell ref="I1252:J1252"/>
    <mergeCell ref="K1252:L1252"/>
    <mergeCell ref="C1253:D1253"/>
    <mergeCell ref="E1253:F1253"/>
    <mergeCell ref="G1253:H1253"/>
    <mergeCell ref="I1253:J1253"/>
    <mergeCell ref="K1253:L1253"/>
    <mergeCell ref="K1250:L1250"/>
    <mergeCell ref="C1251:D1251"/>
    <mergeCell ref="E1251:F1251"/>
    <mergeCell ref="G1251:H1251"/>
    <mergeCell ref="I1251:J1251"/>
    <mergeCell ref="K1251:L1251"/>
    <mergeCell ref="C1248:D1248"/>
    <mergeCell ref="E1248:F1248"/>
    <mergeCell ref="G1248:H1248"/>
    <mergeCell ref="I1248:J1248"/>
    <mergeCell ref="K1248:L1248"/>
    <mergeCell ref="C1250:D1250"/>
    <mergeCell ref="E1250:F1250"/>
    <mergeCell ref="G1250:H1250"/>
    <mergeCell ref="I1250:J1250"/>
    <mergeCell ref="C1247:D1247"/>
    <mergeCell ref="E1247:F1247"/>
    <mergeCell ref="G1247:H1247"/>
    <mergeCell ref="I1247:J1247"/>
    <mergeCell ref="K1247:L1247"/>
    <mergeCell ref="K1244:L1244"/>
    <mergeCell ref="C1245:D1245"/>
    <mergeCell ref="E1245:F1245"/>
    <mergeCell ref="G1245:H1245"/>
    <mergeCell ref="I1245:J1245"/>
    <mergeCell ref="K1245:L1245"/>
    <mergeCell ref="B1242:B1248"/>
    <mergeCell ref="C1243:D1243"/>
    <mergeCell ref="E1243:F1243"/>
    <mergeCell ref="G1243:H1243"/>
    <mergeCell ref="I1243:J1243"/>
    <mergeCell ref="K1243:L1243"/>
    <mergeCell ref="C1244:D1244"/>
    <mergeCell ref="E1244:F1244"/>
    <mergeCell ref="G1244:H1244"/>
    <mergeCell ref="I1244:J1244"/>
    <mergeCell ref="E1241:F1241"/>
    <mergeCell ref="G1241:H1241"/>
    <mergeCell ref="I1241:J1241"/>
    <mergeCell ref="K1241:L1241"/>
    <mergeCell ref="C1238:D1238"/>
    <mergeCell ref="E1238:F1238"/>
    <mergeCell ref="G1238:H1238"/>
    <mergeCell ref="I1238:J1238"/>
    <mergeCell ref="K1238:L1238"/>
    <mergeCell ref="C1239:D1239"/>
    <mergeCell ref="E1239:F1239"/>
    <mergeCell ref="G1239:H1239"/>
    <mergeCell ref="I1239:J1239"/>
    <mergeCell ref="K1239:L1239"/>
    <mergeCell ref="C1246:D1246"/>
    <mergeCell ref="E1246:F1246"/>
    <mergeCell ref="G1246:H1246"/>
    <mergeCell ref="I1246:J1246"/>
    <mergeCell ref="K1246:L1246"/>
    <mergeCell ref="K1236:L1236"/>
    <mergeCell ref="C1237:D1237"/>
    <mergeCell ref="E1237:F1237"/>
    <mergeCell ref="G1237:H1237"/>
    <mergeCell ref="I1237:J1237"/>
    <mergeCell ref="K1237:L1237"/>
    <mergeCell ref="C1234:D1234"/>
    <mergeCell ref="E1234:F1234"/>
    <mergeCell ref="G1234:H1234"/>
    <mergeCell ref="I1234:J1234"/>
    <mergeCell ref="K1234:L1234"/>
    <mergeCell ref="B1235:B1241"/>
    <mergeCell ref="C1236:D1236"/>
    <mergeCell ref="E1236:F1236"/>
    <mergeCell ref="G1236:H1236"/>
    <mergeCell ref="I1236:J1236"/>
    <mergeCell ref="C1232:D1232"/>
    <mergeCell ref="E1232:F1232"/>
    <mergeCell ref="G1232:H1232"/>
    <mergeCell ref="I1232:J1232"/>
    <mergeCell ref="K1232:L1232"/>
    <mergeCell ref="C1233:D1233"/>
    <mergeCell ref="E1233:F1233"/>
    <mergeCell ref="G1233:H1233"/>
    <mergeCell ref="I1233:J1233"/>
    <mergeCell ref="K1233:L1233"/>
    <mergeCell ref="C1240:D1240"/>
    <mergeCell ref="E1240:F1240"/>
    <mergeCell ref="G1240:H1240"/>
    <mergeCell ref="I1240:J1240"/>
    <mergeCell ref="K1240:L1240"/>
    <mergeCell ref="C1241:D1241"/>
    <mergeCell ref="E1222:F1222"/>
    <mergeCell ref="G1222:H1222"/>
    <mergeCell ref="I1222:J1222"/>
    <mergeCell ref="K1230:L1230"/>
    <mergeCell ref="C1231:D1231"/>
    <mergeCell ref="E1231:F1231"/>
    <mergeCell ref="G1231:H1231"/>
    <mergeCell ref="I1231:J1231"/>
    <mergeCell ref="K1231:L1231"/>
    <mergeCell ref="B1228:B1234"/>
    <mergeCell ref="C1229:D1229"/>
    <mergeCell ref="E1229:F1229"/>
    <mergeCell ref="G1229:H1229"/>
    <mergeCell ref="I1229:J1229"/>
    <mergeCell ref="K1229:L1229"/>
    <mergeCell ref="C1230:D1230"/>
    <mergeCell ref="E1230:F1230"/>
    <mergeCell ref="G1230:H1230"/>
    <mergeCell ref="I1230:J1230"/>
    <mergeCell ref="C1226:D1226"/>
    <mergeCell ref="E1226:F1226"/>
    <mergeCell ref="G1226:H1226"/>
    <mergeCell ref="I1226:J1226"/>
    <mergeCell ref="K1226:L1226"/>
    <mergeCell ref="C1227:D1227"/>
    <mergeCell ref="E1227:F1227"/>
    <mergeCell ref="G1227:H1227"/>
    <mergeCell ref="I1227:J1227"/>
    <mergeCell ref="K1227:L1227"/>
    <mergeCell ref="B1221:B1227"/>
    <mergeCell ref="B1214:B1220"/>
    <mergeCell ref="C1215:D1215"/>
    <mergeCell ref="E1215:F1215"/>
    <mergeCell ref="G1215:H1215"/>
    <mergeCell ref="I1215:J1215"/>
    <mergeCell ref="K1215:L1215"/>
    <mergeCell ref="C1216:D1216"/>
    <mergeCell ref="E1216:F1216"/>
    <mergeCell ref="G1216:H1216"/>
    <mergeCell ref="I1216:J1216"/>
    <mergeCell ref="C1224:D1224"/>
    <mergeCell ref="E1224:F1224"/>
    <mergeCell ref="G1224:H1224"/>
    <mergeCell ref="I1224:J1224"/>
    <mergeCell ref="K1224:L1224"/>
    <mergeCell ref="C1225:D1225"/>
    <mergeCell ref="E1225:F1225"/>
    <mergeCell ref="G1225:H1225"/>
    <mergeCell ref="I1225:J1225"/>
    <mergeCell ref="K1225:L1225"/>
    <mergeCell ref="K1222:L1222"/>
    <mergeCell ref="C1223:D1223"/>
    <mergeCell ref="E1223:F1223"/>
    <mergeCell ref="G1223:H1223"/>
    <mergeCell ref="I1223:J1223"/>
    <mergeCell ref="K1223:L1223"/>
    <mergeCell ref="C1220:D1220"/>
    <mergeCell ref="E1220:F1220"/>
    <mergeCell ref="G1220:H1220"/>
    <mergeCell ref="I1220:J1220"/>
    <mergeCell ref="K1220:L1220"/>
    <mergeCell ref="C1222:D1222"/>
    <mergeCell ref="E1211:F1211"/>
    <mergeCell ref="G1211:H1211"/>
    <mergeCell ref="I1211:J1211"/>
    <mergeCell ref="K1211:L1211"/>
    <mergeCell ref="K1208:L1208"/>
    <mergeCell ref="C1209:D1209"/>
    <mergeCell ref="E1209:F1209"/>
    <mergeCell ref="G1209:H1209"/>
    <mergeCell ref="I1209:J1209"/>
    <mergeCell ref="K1209:L1209"/>
    <mergeCell ref="C1218:D1218"/>
    <mergeCell ref="E1218:F1218"/>
    <mergeCell ref="G1218:H1218"/>
    <mergeCell ref="I1218:J1218"/>
    <mergeCell ref="K1218:L1218"/>
    <mergeCell ref="C1219:D1219"/>
    <mergeCell ref="E1219:F1219"/>
    <mergeCell ref="G1219:H1219"/>
    <mergeCell ref="I1219:J1219"/>
    <mergeCell ref="K1219:L1219"/>
    <mergeCell ref="K1216:L1216"/>
    <mergeCell ref="C1217:D1217"/>
    <mergeCell ref="E1217:F1217"/>
    <mergeCell ref="G1217:H1217"/>
    <mergeCell ref="I1217:J1217"/>
    <mergeCell ref="K1217:L1217"/>
    <mergeCell ref="A1207:A1213"/>
    <mergeCell ref="B1207:B1213"/>
    <mergeCell ref="C1208:D1208"/>
    <mergeCell ref="E1208:F1208"/>
    <mergeCell ref="G1208:H1208"/>
    <mergeCell ref="I1208:J1208"/>
    <mergeCell ref="C1210:D1210"/>
    <mergeCell ref="E1210:F1210"/>
    <mergeCell ref="G1210:H1210"/>
    <mergeCell ref="I1210:J1210"/>
    <mergeCell ref="C1205:D1205"/>
    <mergeCell ref="E1205:F1205"/>
    <mergeCell ref="G1205:H1205"/>
    <mergeCell ref="I1205:J1205"/>
    <mergeCell ref="K1205:L1205"/>
    <mergeCell ref="C1206:D1206"/>
    <mergeCell ref="E1206:F1206"/>
    <mergeCell ref="G1206:H1206"/>
    <mergeCell ref="I1206:J1206"/>
    <mergeCell ref="K1206:L1206"/>
    <mergeCell ref="C1212:D1212"/>
    <mergeCell ref="E1212:F1212"/>
    <mergeCell ref="G1212:H1212"/>
    <mergeCell ref="I1212:J1212"/>
    <mergeCell ref="K1212:L1212"/>
    <mergeCell ref="C1213:D1213"/>
    <mergeCell ref="E1213:F1213"/>
    <mergeCell ref="G1213:H1213"/>
    <mergeCell ref="I1213:J1213"/>
    <mergeCell ref="K1213:L1213"/>
    <mergeCell ref="K1210:L1210"/>
    <mergeCell ref="C1211:D1211"/>
    <mergeCell ref="A1200:A1206"/>
    <mergeCell ref="B1200:B1206"/>
    <mergeCell ref="C1201:D1201"/>
    <mergeCell ref="E1201:F1201"/>
    <mergeCell ref="G1201:H1201"/>
    <mergeCell ref="C1197:D1197"/>
    <mergeCell ref="E1197:F1197"/>
    <mergeCell ref="G1197:H1197"/>
    <mergeCell ref="I1197:J1197"/>
    <mergeCell ref="K1197:L1197"/>
    <mergeCell ref="C1198:D1198"/>
    <mergeCell ref="E1198:F1198"/>
    <mergeCell ref="G1198:H1198"/>
    <mergeCell ref="I1198:J1198"/>
    <mergeCell ref="K1198:L1198"/>
    <mergeCell ref="C1203:D1203"/>
    <mergeCell ref="E1203:F1203"/>
    <mergeCell ref="G1203:H1203"/>
    <mergeCell ref="I1203:J1203"/>
    <mergeCell ref="K1203:L1203"/>
    <mergeCell ref="C1204:D1204"/>
    <mergeCell ref="E1204:F1204"/>
    <mergeCell ref="G1204:H1204"/>
    <mergeCell ref="I1204:J1204"/>
    <mergeCell ref="K1204:L1204"/>
    <mergeCell ref="I1201:J1201"/>
    <mergeCell ref="K1201:L1201"/>
    <mergeCell ref="C1202:D1202"/>
    <mergeCell ref="E1202:F1202"/>
    <mergeCell ref="G1202:H1202"/>
    <mergeCell ref="I1202:J1202"/>
    <mergeCell ref="K1202:L1202"/>
    <mergeCell ref="K1195:L1195"/>
    <mergeCell ref="C1196:D1196"/>
    <mergeCell ref="E1196:F1196"/>
    <mergeCell ref="G1196:H1196"/>
    <mergeCell ref="I1196:J1196"/>
    <mergeCell ref="K1196:L1196"/>
    <mergeCell ref="B1193:B1199"/>
    <mergeCell ref="C1194:D1194"/>
    <mergeCell ref="E1194:F1194"/>
    <mergeCell ref="G1194:H1194"/>
    <mergeCell ref="I1194:J1194"/>
    <mergeCell ref="K1194:L1194"/>
    <mergeCell ref="C1195:D1195"/>
    <mergeCell ref="E1195:F1195"/>
    <mergeCell ref="G1195:H1195"/>
    <mergeCell ref="I1195:J1195"/>
    <mergeCell ref="C1191:D1191"/>
    <mergeCell ref="E1191:F1191"/>
    <mergeCell ref="G1191:H1191"/>
    <mergeCell ref="I1191:J1191"/>
    <mergeCell ref="K1191:L1191"/>
    <mergeCell ref="C1192:D1192"/>
    <mergeCell ref="E1192:F1192"/>
    <mergeCell ref="G1192:H1192"/>
    <mergeCell ref="I1192:J1192"/>
    <mergeCell ref="K1192:L1192"/>
    <mergeCell ref="B1186:B1192"/>
    <mergeCell ref="C1199:D1199"/>
    <mergeCell ref="E1199:F1199"/>
    <mergeCell ref="G1199:H1199"/>
    <mergeCell ref="I1199:J1199"/>
    <mergeCell ref="K1199:L1199"/>
    <mergeCell ref="C1189:D1189"/>
    <mergeCell ref="E1189:F1189"/>
    <mergeCell ref="G1189:H1189"/>
    <mergeCell ref="I1189:J1189"/>
    <mergeCell ref="K1189:L1189"/>
    <mergeCell ref="C1190:D1190"/>
    <mergeCell ref="E1190:F1190"/>
    <mergeCell ref="G1190:H1190"/>
    <mergeCell ref="I1190:J1190"/>
    <mergeCell ref="K1190:L1190"/>
    <mergeCell ref="K1187:L1187"/>
    <mergeCell ref="C1188:D1188"/>
    <mergeCell ref="E1188:F1188"/>
    <mergeCell ref="G1188:H1188"/>
    <mergeCell ref="I1188:J1188"/>
    <mergeCell ref="K1188:L1188"/>
    <mergeCell ref="C1185:D1185"/>
    <mergeCell ref="E1185:F1185"/>
    <mergeCell ref="G1185:H1185"/>
    <mergeCell ref="I1185:J1185"/>
    <mergeCell ref="K1185:L1185"/>
    <mergeCell ref="C1187:D1187"/>
    <mergeCell ref="E1187:F1187"/>
    <mergeCell ref="G1187:H1187"/>
    <mergeCell ref="I1187:J1187"/>
    <mergeCell ref="C1184:D1184"/>
    <mergeCell ref="E1184:F1184"/>
    <mergeCell ref="G1184:H1184"/>
    <mergeCell ref="I1184:J1184"/>
    <mergeCell ref="K1184:L1184"/>
    <mergeCell ref="K1181:L1181"/>
    <mergeCell ref="C1182:D1182"/>
    <mergeCell ref="E1182:F1182"/>
    <mergeCell ref="G1182:H1182"/>
    <mergeCell ref="I1182:J1182"/>
    <mergeCell ref="K1182:L1182"/>
    <mergeCell ref="B1179:B1185"/>
    <mergeCell ref="C1180:D1180"/>
    <mergeCell ref="E1180:F1180"/>
    <mergeCell ref="G1180:H1180"/>
    <mergeCell ref="I1180:J1180"/>
    <mergeCell ref="K1180:L1180"/>
    <mergeCell ref="C1181:D1181"/>
    <mergeCell ref="E1181:F1181"/>
    <mergeCell ref="G1181:H1181"/>
    <mergeCell ref="I1181:J1181"/>
    <mergeCell ref="K1178:L1178"/>
    <mergeCell ref="K1175:L1175"/>
    <mergeCell ref="C1176:D1176"/>
    <mergeCell ref="E1176:F1176"/>
    <mergeCell ref="G1176:H1176"/>
    <mergeCell ref="I1176:J1176"/>
    <mergeCell ref="K1176:L1176"/>
    <mergeCell ref="K1173:L1173"/>
    <mergeCell ref="C1174:D1174"/>
    <mergeCell ref="E1174:F1174"/>
    <mergeCell ref="G1174:H1174"/>
    <mergeCell ref="I1174:J1174"/>
    <mergeCell ref="K1174:L1174"/>
    <mergeCell ref="C1183:D1183"/>
    <mergeCell ref="E1183:F1183"/>
    <mergeCell ref="G1183:H1183"/>
    <mergeCell ref="I1183:J1183"/>
    <mergeCell ref="K1183:L1183"/>
    <mergeCell ref="G1167:H1167"/>
    <mergeCell ref="I1167:J1167"/>
    <mergeCell ref="K1167:L1167"/>
    <mergeCell ref="A1172:A1178"/>
    <mergeCell ref="B1172:B1178"/>
    <mergeCell ref="C1173:D1173"/>
    <mergeCell ref="E1173:F1173"/>
    <mergeCell ref="G1173:H1173"/>
    <mergeCell ref="I1173:J1173"/>
    <mergeCell ref="C1175:D1175"/>
    <mergeCell ref="E1175:F1175"/>
    <mergeCell ref="G1175:H1175"/>
    <mergeCell ref="I1175:J1175"/>
    <mergeCell ref="C1170:D1170"/>
    <mergeCell ref="E1170:F1170"/>
    <mergeCell ref="G1170:H1170"/>
    <mergeCell ref="I1170:J1170"/>
    <mergeCell ref="K1170:L1170"/>
    <mergeCell ref="C1171:D1171"/>
    <mergeCell ref="E1171:F1171"/>
    <mergeCell ref="G1171:H1171"/>
    <mergeCell ref="I1171:J1171"/>
    <mergeCell ref="K1171:L1171"/>
    <mergeCell ref="C1177:D1177"/>
    <mergeCell ref="E1177:F1177"/>
    <mergeCell ref="G1177:H1177"/>
    <mergeCell ref="I1177:J1177"/>
    <mergeCell ref="K1177:L1177"/>
    <mergeCell ref="C1178:D1178"/>
    <mergeCell ref="E1178:F1178"/>
    <mergeCell ref="G1178:H1178"/>
    <mergeCell ref="I1178:J1178"/>
    <mergeCell ref="G1164:H1164"/>
    <mergeCell ref="I1164:J1164"/>
    <mergeCell ref="K1164:L1164"/>
    <mergeCell ref="A1165:A1171"/>
    <mergeCell ref="B1165:B1171"/>
    <mergeCell ref="C1166:D1166"/>
    <mergeCell ref="E1166:F1166"/>
    <mergeCell ref="G1166:H1166"/>
    <mergeCell ref="C1162:D1162"/>
    <mergeCell ref="E1162:F1162"/>
    <mergeCell ref="G1162:H1162"/>
    <mergeCell ref="I1162:J1162"/>
    <mergeCell ref="K1162:L1162"/>
    <mergeCell ref="C1163:D1163"/>
    <mergeCell ref="E1163:F1163"/>
    <mergeCell ref="G1163:H1163"/>
    <mergeCell ref="I1163:J1163"/>
    <mergeCell ref="K1163:L1163"/>
    <mergeCell ref="C1168:D1168"/>
    <mergeCell ref="E1168:F1168"/>
    <mergeCell ref="G1168:H1168"/>
    <mergeCell ref="I1168:J1168"/>
    <mergeCell ref="K1168:L1168"/>
    <mergeCell ref="C1169:D1169"/>
    <mergeCell ref="E1169:F1169"/>
    <mergeCell ref="G1169:H1169"/>
    <mergeCell ref="I1169:J1169"/>
    <mergeCell ref="K1169:L1169"/>
    <mergeCell ref="I1166:J1166"/>
    <mergeCell ref="K1166:L1166"/>
    <mergeCell ref="C1167:D1167"/>
    <mergeCell ref="E1167:F1167"/>
    <mergeCell ref="E1152:F1152"/>
    <mergeCell ref="G1152:H1152"/>
    <mergeCell ref="I1152:J1152"/>
    <mergeCell ref="K1160:L1160"/>
    <mergeCell ref="C1161:D1161"/>
    <mergeCell ref="E1161:F1161"/>
    <mergeCell ref="G1161:H1161"/>
    <mergeCell ref="I1161:J1161"/>
    <mergeCell ref="K1161:L1161"/>
    <mergeCell ref="B1158:B1164"/>
    <mergeCell ref="C1159:D1159"/>
    <mergeCell ref="E1159:F1159"/>
    <mergeCell ref="G1159:H1159"/>
    <mergeCell ref="I1159:J1159"/>
    <mergeCell ref="K1159:L1159"/>
    <mergeCell ref="C1160:D1160"/>
    <mergeCell ref="E1160:F1160"/>
    <mergeCell ref="G1160:H1160"/>
    <mergeCell ref="I1160:J1160"/>
    <mergeCell ref="C1156:D1156"/>
    <mergeCell ref="E1156:F1156"/>
    <mergeCell ref="G1156:H1156"/>
    <mergeCell ref="I1156:J1156"/>
    <mergeCell ref="K1156:L1156"/>
    <mergeCell ref="C1157:D1157"/>
    <mergeCell ref="E1157:F1157"/>
    <mergeCell ref="G1157:H1157"/>
    <mergeCell ref="I1157:J1157"/>
    <mergeCell ref="K1157:L1157"/>
    <mergeCell ref="B1151:B1157"/>
    <mergeCell ref="C1164:D1164"/>
    <mergeCell ref="E1164:F1164"/>
    <mergeCell ref="B1144:B1150"/>
    <mergeCell ref="C1145:D1145"/>
    <mergeCell ref="E1145:F1145"/>
    <mergeCell ref="G1145:H1145"/>
    <mergeCell ref="I1145:J1145"/>
    <mergeCell ref="K1145:L1145"/>
    <mergeCell ref="C1146:D1146"/>
    <mergeCell ref="E1146:F1146"/>
    <mergeCell ref="G1146:H1146"/>
    <mergeCell ref="I1146:J1146"/>
    <mergeCell ref="C1154:D1154"/>
    <mergeCell ref="E1154:F1154"/>
    <mergeCell ref="G1154:H1154"/>
    <mergeCell ref="I1154:J1154"/>
    <mergeCell ref="K1154:L1154"/>
    <mergeCell ref="C1155:D1155"/>
    <mergeCell ref="E1155:F1155"/>
    <mergeCell ref="G1155:H1155"/>
    <mergeCell ref="I1155:J1155"/>
    <mergeCell ref="K1155:L1155"/>
    <mergeCell ref="K1152:L1152"/>
    <mergeCell ref="C1153:D1153"/>
    <mergeCell ref="E1153:F1153"/>
    <mergeCell ref="G1153:H1153"/>
    <mergeCell ref="I1153:J1153"/>
    <mergeCell ref="K1153:L1153"/>
    <mergeCell ref="C1150:D1150"/>
    <mergeCell ref="E1150:F1150"/>
    <mergeCell ref="G1150:H1150"/>
    <mergeCell ref="I1150:J1150"/>
    <mergeCell ref="K1150:L1150"/>
    <mergeCell ref="C1152:D1152"/>
    <mergeCell ref="E1141:F1141"/>
    <mergeCell ref="G1141:H1141"/>
    <mergeCell ref="I1141:J1141"/>
    <mergeCell ref="K1141:L1141"/>
    <mergeCell ref="K1138:L1138"/>
    <mergeCell ref="C1139:D1139"/>
    <mergeCell ref="E1139:F1139"/>
    <mergeCell ref="G1139:H1139"/>
    <mergeCell ref="I1139:J1139"/>
    <mergeCell ref="K1139:L1139"/>
    <mergeCell ref="C1148:D1148"/>
    <mergeCell ref="E1148:F1148"/>
    <mergeCell ref="G1148:H1148"/>
    <mergeCell ref="I1148:J1148"/>
    <mergeCell ref="K1148:L1148"/>
    <mergeCell ref="C1149:D1149"/>
    <mergeCell ref="E1149:F1149"/>
    <mergeCell ref="G1149:H1149"/>
    <mergeCell ref="I1149:J1149"/>
    <mergeCell ref="K1149:L1149"/>
    <mergeCell ref="K1146:L1146"/>
    <mergeCell ref="C1147:D1147"/>
    <mergeCell ref="E1147:F1147"/>
    <mergeCell ref="G1147:H1147"/>
    <mergeCell ref="I1147:J1147"/>
    <mergeCell ref="K1147:L1147"/>
    <mergeCell ref="A1137:A1143"/>
    <mergeCell ref="B1137:B1143"/>
    <mergeCell ref="C1138:D1138"/>
    <mergeCell ref="E1138:F1138"/>
    <mergeCell ref="G1138:H1138"/>
    <mergeCell ref="I1138:J1138"/>
    <mergeCell ref="C1140:D1140"/>
    <mergeCell ref="E1140:F1140"/>
    <mergeCell ref="G1140:H1140"/>
    <mergeCell ref="I1140:J1140"/>
    <mergeCell ref="C1135:D1135"/>
    <mergeCell ref="E1135:F1135"/>
    <mergeCell ref="G1135:H1135"/>
    <mergeCell ref="I1135:J1135"/>
    <mergeCell ref="K1135:L1135"/>
    <mergeCell ref="C1136:D1136"/>
    <mergeCell ref="E1136:F1136"/>
    <mergeCell ref="G1136:H1136"/>
    <mergeCell ref="I1136:J1136"/>
    <mergeCell ref="K1136:L1136"/>
    <mergeCell ref="C1142:D1142"/>
    <mergeCell ref="E1142:F1142"/>
    <mergeCell ref="G1142:H1142"/>
    <mergeCell ref="I1142:J1142"/>
    <mergeCell ref="K1142:L1142"/>
    <mergeCell ref="C1143:D1143"/>
    <mergeCell ref="E1143:F1143"/>
    <mergeCell ref="G1143:H1143"/>
    <mergeCell ref="I1143:J1143"/>
    <mergeCell ref="K1143:L1143"/>
    <mergeCell ref="K1140:L1140"/>
    <mergeCell ref="C1141:D1141"/>
    <mergeCell ref="A1130:A1136"/>
    <mergeCell ref="B1130:B1136"/>
    <mergeCell ref="C1131:D1131"/>
    <mergeCell ref="E1131:F1131"/>
    <mergeCell ref="G1131:H1131"/>
    <mergeCell ref="C1127:D1127"/>
    <mergeCell ref="E1127:F1127"/>
    <mergeCell ref="G1127:H1127"/>
    <mergeCell ref="I1127:J1127"/>
    <mergeCell ref="K1127:L1127"/>
    <mergeCell ref="C1128:D1128"/>
    <mergeCell ref="E1128:F1128"/>
    <mergeCell ref="G1128:H1128"/>
    <mergeCell ref="I1128:J1128"/>
    <mergeCell ref="K1128:L1128"/>
    <mergeCell ref="C1133:D1133"/>
    <mergeCell ref="E1133:F1133"/>
    <mergeCell ref="G1133:H1133"/>
    <mergeCell ref="I1133:J1133"/>
    <mergeCell ref="K1133:L1133"/>
    <mergeCell ref="C1134:D1134"/>
    <mergeCell ref="E1134:F1134"/>
    <mergeCell ref="G1134:H1134"/>
    <mergeCell ref="I1134:J1134"/>
    <mergeCell ref="K1134:L1134"/>
    <mergeCell ref="I1131:J1131"/>
    <mergeCell ref="K1131:L1131"/>
    <mergeCell ref="C1132:D1132"/>
    <mergeCell ref="E1132:F1132"/>
    <mergeCell ref="G1132:H1132"/>
    <mergeCell ref="I1132:J1132"/>
    <mergeCell ref="K1132:L1132"/>
    <mergeCell ref="E1126:F1126"/>
    <mergeCell ref="G1126:H1126"/>
    <mergeCell ref="I1126:J1126"/>
    <mergeCell ref="K1126:L1126"/>
    <mergeCell ref="C1122:D1122"/>
    <mergeCell ref="E1122:F1122"/>
    <mergeCell ref="G1122:H1122"/>
    <mergeCell ref="I1122:J1122"/>
    <mergeCell ref="K1122:L1122"/>
    <mergeCell ref="C1124:D1124"/>
    <mergeCell ref="E1124:F1124"/>
    <mergeCell ref="G1124:H1124"/>
    <mergeCell ref="I1124:J1124"/>
    <mergeCell ref="K1124:L1124"/>
    <mergeCell ref="C1129:D1129"/>
    <mergeCell ref="E1129:F1129"/>
    <mergeCell ref="G1129:H1129"/>
    <mergeCell ref="I1129:J1129"/>
    <mergeCell ref="K1129:L1129"/>
    <mergeCell ref="C1120:D1120"/>
    <mergeCell ref="E1120:F1120"/>
    <mergeCell ref="G1120:H1120"/>
    <mergeCell ref="I1120:J1120"/>
    <mergeCell ref="K1120:L1120"/>
    <mergeCell ref="C1121:D1121"/>
    <mergeCell ref="E1121:F1121"/>
    <mergeCell ref="G1121:H1121"/>
    <mergeCell ref="I1121:J1121"/>
    <mergeCell ref="K1121:L1121"/>
    <mergeCell ref="K1118:L1118"/>
    <mergeCell ref="C1119:D1119"/>
    <mergeCell ref="E1119:F1119"/>
    <mergeCell ref="G1119:H1119"/>
    <mergeCell ref="I1119:J1119"/>
    <mergeCell ref="K1119:L1119"/>
    <mergeCell ref="B1116:B1128"/>
    <mergeCell ref="C1117:D1117"/>
    <mergeCell ref="E1117:F1117"/>
    <mergeCell ref="G1117:H1117"/>
    <mergeCell ref="I1117:J1117"/>
    <mergeCell ref="K1117:L1117"/>
    <mergeCell ref="C1118:D1118"/>
    <mergeCell ref="E1118:F1118"/>
    <mergeCell ref="G1118:H1118"/>
    <mergeCell ref="I1118:J1118"/>
    <mergeCell ref="C1125:D1125"/>
    <mergeCell ref="E1125:F1125"/>
    <mergeCell ref="G1125:H1125"/>
    <mergeCell ref="I1125:J1125"/>
    <mergeCell ref="K1125:L1125"/>
    <mergeCell ref="C1126:D1126"/>
    <mergeCell ref="K1107:L1107"/>
    <mergeCell ref="C1108:D1108"/>
    <mergeCell ref="E1108:F1108"/>
    <mergeCell ref="G1108:H1108"/>
    <mergeCell ref="I1108:J1108"/>
    <mergeCell ref="K1108:L1108"/>
    <mergeCell ref="C1114:D1114"/>
    <mergeCell ref="E1114:F1114"/>
    <mergeCell ref="G1114:H1114"/>
    <mergeCell ref="I1114:J1114"/>
    <mergeCell ref="K1114:L1114"/>
    <mergeCell ref="C1115:D1115"/>
    <mergeCell ref="E1115:F1115"/>
    <mergeCell ref="G1115:H1115"/>
    <mergeCell ref="I1115:J1115"/>
    <mergeCell ref="K1115:L1115"/>
    <mergeCell ref="K1112:L1112"/>
    <mergeCell ref="C1113:D1113"/>
    <mergeCell ref="E1113:F1113"/>
    <mergeCell ref="G1113:H1113"/>
    <mergeCell ref="I1113:J1113"/>
    <mergeCell ref="K1113:L1113"/>
    <mergeCell ref="K1110:L1110"/>
    <mergeCell ref="C1111:D1111"/>
    <mergeCell ref="E1111:F1111"/>
    <mergeCell ref="G1111:H1111"/>
    <mergeCell ref="I1111:J1111"/>
    <mergeCell ref="K1111:L1111"/>
    <mergeCell ref="A1102:A1108"/>
    <mergeCell ref="B1102:B1108"/>
    <mergeCell ref="C1103:D1103"/>
    <mergeCell ref="E1103:F1103"/>
    <mergeCell ref="G1103:H1103"/>
    <mergeCell ref="I1103:J1103"/>
    <mergeCell ref="C1105:D1105"/>
    <mergeCell ref="E1105:F1105"/>
    <mergeCell ref="G1105:H1105"/>
    <mergeCell ref="I1105:J1105"/>
    <mergeCell ref="A1109:A1115"/>
    <mergeCell ref="B1109:B1115"/>
    <mergeCell ref="C1110:D1110"/>
    <mergeCell ref="E1110:F1110"/>
    <mergeCell ref="G1110:H1110"/>
    <mergeCell ref="I1110:J1110"/>
    <mergeCell ref="C1112:D1112"/>
    <mergeCell ref="E1112:F1112"/>
    <mergeCell ref="G1112:H1112"/>
    <mergeCell ref="I1112:J1112"/>
    <mergeCell ref="C1107:D1107"/>
    <mergeCell ref="E1107:F1107"/>
    <mergeCell ref="G1107:H1107"/>
    <mergeCell ref="I1107:J1107"/>
    <mergeCell ref="C1101:D1101"/>
    <mergeCell ref="E1101:F1101"/>
    <mergeCell ref="G1101:H1101"/>
    <mergeCell ref="I1101:J1101"/>
    <mergeCell ref="K1101:L1101"/>
    <mergeCell ref="C1098:D1098"/>
    <mergeCell ref="E1098:F1098"/>
    <mergeCell ref="G1098:H1098"/>
    <mergeCell ref="I1098:J1098"/>
    <mergeCell ref="K1098:L1098"/>
    <mergeCell ref="C1099:D1099"/>
    <mergeCell ref="E1099:F1099"/>
    <mergeCell ref="G1099:H1099"/>
    <mergeCell ref="I1099:J1099"/>
    <mergeCell ref="K1099:L1099"/>
    <mergeCell ref="K1105:L1105"/>
    <mergeCell ref="C1106:D1106"/>
    <mergeCell ref="E1106:F1106"/>
    <mergeCell ref="G1106:H1106"/>
    <mergeCell ref="I1106:J1106"/>
    <mergeCell ref="K1106:L1106"/>
    <mergeCell ref="K1103:L1103"/>
    <mergeCell ref="C1104:D1104"/>
    <mergeCell ref="E1104:F1104"/>
    <mergeCell ref="G1104:H1104"/>
    <mergeCell ref="I1104:J1104"/>
    <mergeCell ref="K1104:L1104"/>
    <mergeCell ref="C1097:D1097"/>
    <mergeCell ref="E1097:F1097"/>
    <mergeCell ref="G1097:H1097"/>
    <mergeCell ref="I1097:J1097"/>
    <mergeCell ref="K1097:L1097"/>
    <mergeCell ref="C1093:D1093"/>
    <mergeCell ref="E1093:F1093"/>
    <mergeCell ref="G1093:H1093"/>
    <mergeCell ref="I1093:J1093"/>
    <mergeCell ref="K1093:L1093"/>
    <mergeCell ref="C1094:D1094"/>
    <mergeCell ref="E1094:F1094"/>
    <mergeCell ref="G1094:H1094"/>
    <mergeCell ref="I1094:J1094"/>
    <mergeCell ref="K1094:L1094"/>
    <mergeCell ref="C1100:D1100"/>
    <mergeCell ref="E1100:F1100"/>
    <mergeCell ref="G1100:H1100"/>
    <mergeCell ref="I1100:J1100"/>
    <mergeCell ref="K1100:L1100"/>
    <mergeCell ref="C1092:D1092"/>
    <mergeCell ref="E1092:F1092"/>
    <mergeCell ref="G1092:H1092"/>
    <mergeCell ref="I1092:J1092"/>
    <mergeCell ref="K1092:L1092"/>
    <mergeCell ref="K1089:L1089"/>
    <mergeCell ref="C1090:D1090"/>
    <mergeCell ref="E1090:F1090"/>
    <mergeCell ref="G1090:H1090"/>
    <mergeCell ref="I1090:J1090"/>
    <mergeCell ref="K1090:L1090"/>
    <mergeCell ref="C1087:D1087"/>
    <mergeCell ref="E1087:F1087"/>
    <mergeCell ref="G1087:H1087"/>
    <mergeCell ref="I1087:J1087"/>
    <mergeCell ref="K1087:L1087"/>
    <mergeCell ref="C1096:D1096"/>
    <mergeCell ref="E1096:F1096"/>
    <mergeCell ref="G1096:H1096"/>
    <mergeCell ref="I1096:J1096"/>
    <mergeCell ref="K1096:L1096"/>
    <mergeCell ref="G1084:H1084"/>
    <mergeCell ref="I1084:J1084"/>
    <mergeCell ref="K1084:L1084"/>
    <mergeCell ref="B1081:B1087"/>
    <mergeCell ref="C1082:D1082"/>
    <mergeCell ref="E1082:F1082"/>
    <mergeCell ref="G1082:H1082"/>
    <mergeCell ref="I1082:J1082"/>
    <mergeCell ref="K1082:L1082"/>
    <mergeCell ref="C1083:D1083"/>
    <mergeCell ref="E1083:F1083"/>
    <mergeCell ref="G1083:H1083"/>
    <mergeCell ref="I1083:J1083"/>
    <mergeCell ref="C1091:D1091"/>
    <mergeCell ref="E1091:F1091"/>
    <mergeCell ref="G1091:H1091"/>
    <mergeCell ref="I1091:J1091"/>
    <mergeCell ref="K1091:L1091"/>
    <mergeCell ref="E1080:F1080"/>
    <mergeCell ref="G1080:H1080"/>
    <mergeCell ref="I1080:J1080"/>
    <mergeCell ref="K1080:L1080"/>
    <mergeCell ref="C1077:D1077"/>
    <mergeCell ref="E1077:F1077"/>
    <mergeCell ref="G1077:H1077"/>
    <mergeCell ref="I1077:J1077"/>
    <mergeCell ref="K1077:L1077"/>
    <mergeCell ref="C1078:D1078"/>
    <mergeCell ref="E1078:F1078"/>
    <mergeCell ref="G1078:H1078"/>
    <mergeCell ref="I1078:J1078"/>
    <mergeCell ref="K1078:L1078"/>
    <mergeCell ref="B1088:B1100"/>
    <mergeCell ref="C1089:D1089"/>
    <mergeCell ref="E1089:F1089"/>
    <mergeCell ref="G1089:H1089"/>
    <mergeCell ref="I1089:J1089"/>
    <mergeCell ref="C1085:D1085"/>
    <mergeCell ref="E1085:F1085"/>
    <mergeCell ref="G1085:H1085"/>
    <mergeCell ref="I1085:J1085"/>
    <mergeCell ref="K1085:L1085"/>
    <mergeCell ref="C1086:D1086"/>
    <mergeCell ref="E1086:F1086"/>
    <mergeCell ref="G1086:H1086"/>
    <mergeCell ref="I1086:J1086"/>
    <mergeCell ref="K1086:L1086"/>
    <mergeCell ref="K1083:L1083"/>
    <mergeCell ref="C1084:D1084"/>
    <mergeCell ref="E1084:F1084"/>
    <mergeCell ref="K1075:L1075"/>
    <mergeCell ref="C1076:D1076"/>
    <mergeCell ref="E1076:F1076"/>
    <mergeCell ref="G1076:H1076"/>
    <mergeCell ref="I1076:J1076"/>
    <mergeCell ref="K1076:L1076"/>
    <mergeCell ref="C1073:D1073"/>
    <mergeCell ref="E1073:F1073"/>
    <mergeCell ref="G1073:H1073"/>
    <mergeCell ref="I1073:J1073"/>
    <mergeCell ref="K1073:L1073"/>
    <mergeCell ref="A1074:A1080"/>
    <mergeCell ref="C1075:D1075"/>
    <mergeCell ref="E1075:F1075"/>
    <mergeCell ref="G1075:H1075"/>
    <mergeCell ref="I1075:J1075"/>
    <mergeCell ref="C1071:D1071"/>
    <mergeCell ref="E1071:F1071"/>
    <mergeCell ref="G1071:H1071"/>
    <mergeCell ref="I1071:J1071"/>
    <mergeCell ref="K1071:L1071"/>
    <mergeCell ref="C1072:D1072"/>
    <mergeCell ref="E1072:F1072"/>
    <mergeCell ref="G1072:H1072"/>
    <mergeCell ref="I1072:J1072"/>
    <mergeCell ref="K1072:L1072"/>
    <mergeCell ref="C1079:D1079"/>
    <mergeCell ref="E1079:F1079"/>
    <mergeCell ref="G1079:H1079"/>
    <mergeCell ref="I1079:J1079"/>
    <mergeCell ref="K1079:L1079"/>
    <mergeCell ref="C1080:D1080"/>
    <mergeCell ref="K1069:L1069"/>
    <mergeCell ref="C1070:D1070"/>
    <mergeCell ref="E1070:F1070"/>
    <mergeCell ref="G1070:H1070"/>
    <mergeCell ref="I1070:J1070"/>
    <mergeCell ref="K1070:L1070"/>
    <mergeCell ref="A1067:A1073"/>
    <mergeCell ref="C1068:D1068"/>
    <mergeCell ref="E1068:F1068"/>
    <mergeCell ref="G1068:H1068"/>
    <mergeCell ref="I1068:J1068"/>
    <mergeCell ref="K1068:L1068"/>
    <mergeCell ref="C1069:D1069"/>
    <mergeCell ref="E1069:F1069"/>
    <mergeCell ref="G1069:H1069"/>
    <mergeCell ref="I1069:J1069"/>
    <mergeCell ref="C1065:D1065"/>
    <mergeCell ref="E1065:F1065"/>
    <mergeCell ref="G1065:H1065"/>
    <mergeCell ref="I1065:J1065"/>
    <mergeCell ref="K1065:L1065"/>
    <mergeCell ref="C1066:D1066"/>
    <mergeCell ref="E1066:F1066"/>
    <mergeCell ref="G1066:H1066"/>
    <mergeCell ref="I1066:J1066"/>
    <mergeCell ref="K1066:L1066"/>
    <mergeCell ref="B1060:B1072"/>
    <mergeCell ref="C1064:D1064"/>
    <mergeCell ref="E1064:F1064"/>
    <mergeCell ref="G1064:H1064"/>
    <mergeCell ref="I1064:J1064"/>
    <mergeCell ref="K1064:L1064"/>
    <mergeCell ref="C1063:D1063"/>
    <mergeCell ref="E1063:F1063"/>
    <mergeCell ref="G1063:H1063"/>
    <mergeCell ref="I1063:J1063"/>
    <mergeCell ref="K1063:L1063"/>
    <mergeCell ref="C1054:D1054"/>
    <mergeCell ref="E1054:F1054"/>
    <mergeCell ref="G1054:H1054"/>
    <mergeCell ref="I1054:J1054"/>
    <mergeCell ref="K1054:L1054"/>
    <mergeCell ref="K1061:L1061"/>
    <mergeCell ref="C1062:D1062"/>
    <mergeCell ref="E1062:F1062"/>
    <mergeCell ref="G1062:H1062"/>
    <mergeCell ref="I1062:J1062"/>
    <mergeCell ref="K1062:L1062"/>
    <mergeCell ref="C1059:D1059"/>
    <mergeCell ref="E1059:F1059"/>
    <mergeCell ref="G1059:H1059"/>
    <mergeCell ref="I1059:J1059"/>
    <mergeCell ref="K1059:L1059"/>
    <mergeCell ref="C1061:D1061"/>
    <mergeCell ref="E1061:F1061"/>
    <mergeCell ref="G1061:H1061"/>
    <mergeCell ref="I1061:J1061"/>
    <mergeCell ref="C1058:D1058"/>
    <mergeCell ref="E1058:F1058"/>
    <mergeCell ref="G1058:H1058"/>
    <mergeCell ref="I1058:J1058"/>
    <mergeCell ref="K1058:L1058"/>
    <mergeCell ref="G1051:H1051"/>
    <mergeCell ref="I1051:J1051"/>
    <mergeCell ref="K1051:L1051"/>
    <mergeCell ref="C1057:D1057"/>
    <mergeCell ref="E1057:F1057"/>
    <mergeCell ref="G1057:H1057"/>
    <mergeCell ref="I1057:J1057"/>
    <mergeCell ref="K1057:L1057"/>
    <mergeCell ref="C1049:D1049"/>
    <mergeCell ref="E1049:F1049"/>
    <mergeCell ref="G1049:H1049"/>
    <mergeCell ref="I1049:J1049"/>
    <mergeCell ref="K1049:L1049"/>
    <mergeCell ref="C1055:D1055"/>
    <mergeCell ref="E1055:F1055"/>
    <mergeCell ref="G1055:H1055"/>
    <mergeCell ref="I1055:J1055"/>
    <mergeCell ref="K1055:L1055"/>
    <mergeCell ref="C1056:D1056"/>
    <mergeCell ref="E1056:F1056"/>
    <mergeCell ref="G1056:H1056"/>
    <mergeCell ref="I1056:J1056"/>
    <mergeCell ref="K1056:L1056"/>
    <mergeCell ref="B1046:B1052"/>
    <mergeCell ref="C1047:D1047"/>
    <mergeCell ref="E1047:F1047"/>
    <mergeCell ref="G1047:H1047"/>
    <mergeCell ref="I1047:J1047"/>
    <mergeCell ref="K1047:L1047"/>
    <mergeCell ref="C1048:D1048"/>
    <mergeCell ref="E1048:F1048"/>
    <mergeCell ref="G1048:H1048"/>
    <mergeCell ref="I1048:J1048"/>
    <mergeCell ref="C1044:D1044"/>
    <mergeCell ref="E1044:F1044"/>
    <mergeCell ref="G1044:H1044"/>
    <mergeCell ref="I1044:J1044"/>
    <mergeCell ref="K1044:L1044"/>
    <mergeCell ref="C1045:D1045"/>
    <mergeCell ref="E1045:F1045"/>
    <mergeCell ref="G1045:H1045"/>
    <mergeCell ref="I1045:J1045"/>
    <mergeCell ref="K1045:L1045"/>
    <mergeCell ref="C1052:D1052"/>
    <mergeCell ref="E1052:F1052"/>
    <mergeCell ref="G1052:H1052"/>
    <mergeCell ref="I1052:J1052"/>
    <mergeCell ref="K1052:L1052"/>
    <mergeCell ref="C1050:D1050"/>
    <mergeCell ref="E1050:F1050"/>
    <mergeCell ref="G1050:H1050"/>
    <mergeCell ref="I1050:J1050"/>
    <mergeCell ref="K1050:L1050"/>
    <mergeCell ref="C1051:D1051"/>
    <mergeCell ref="E1051:F1051"/>
    <mergeCell ref="C1043:D1043"/>
    <mergeCell ref="E1043:F1043"/>
    <mergeCell ref="G1043:H1043"/>
    <mergeCell ref="I1043:J1043"/>
    <mergeCell ref="K1043:L1043"/>
    <mergeCell ref="K1040:L1040"/>
    <mergeCell ref="C1041:D1041"/>
    <mergeCell ref="E1041:F1041"/>
    <mergeCell ref="G1041:H1041"/>
    <mergeCell ref="I1041:J1041"/>
    <mergeCell ref="K1041:L1041"/>
    <mergeCell ref="C1038:D1038"/>
    <mergeCell ref="E1038:F1038"/>
    <mergeCell ref="G1038:H1038"/>
    <mergeCell ref="I1038:J1038"/>
    <mergeCell ref="K1038:L1038"/>
    <mergeCell ref="K1048:L1048"/>
    <mergeCell ref="G1035:H1035"/>
    <mergeCell ref="I1035:J1035"/>
    <mergeCell ref="K1035:L1035"/>
    <mergeCell ref="A1032:A1038"/>
    <mergeCell ref="C1033:D1033"/>
    <mergeCell ref="E1033:F1033"/>
    <mergeCell ref="G1033:H1033"/>
    <mergeCell ref="I1033:J1033"/>
    <mergeCell ref="K1033:L1033"/>
    <mergeCell ref="C1034:D1034"/>
    <mergeCell ref="E1034:F1034"/>
    <mergeCell ref="G1034:H1034"/>
    <mergeCell ref="I1034:J1034"/>
    <mergeCell ref="C1042:D1042"/>
    <mergeCell ref="E1042:F1042"/>
    <mergeCell ref="G1042:H1042"/>
    <mergeCell ref="I1042:J1042"/>
    <mergeCell ref="K1042:L1042"/>
    <mergeCell ref="E1031:F1031"/>
    <mergeCell ref="G1031:H1031"/>
    <mergeCell ref="I1031:J1031"/>
    <mergeCell ref="K1031:L1031"/>
    <mergeCell ref="C1028:D1028"/>
    <mergeCell ref="E1028:F1028"/>
    <mergeCell ref="G1028:H1028"/>
    <mergeCell ref="I1028:J1028"/>
    <mergeCell ref="K1028:L1028"/>
    <mergeCell ref="C1029:D1029"/>
    <mergeCell ref="E1029:F1029"/>
    <mergeCell ref="G1029:H1029"/>
    <mergeCell ref="I1029:J1029"/>
    <mergeCell ref="K1029:L1029"/>
    <mergeCell ref="A1039:A1045"/>
    <mergeCell ref="C1040:D1040"/>
    <mergeCell ref="E1040:F1040"/>
    <mergeCell ref="G1040:H1040"/>
    <mergeCell ref="I1040:J1040"/>
    <mergeCell ref="C1036:D1036"/>
    <mergeCell ref="E1036:F1036"/>
    <mergeCell ref="G1036:H1036"/>
    <mergeCell ref="I1036:J1036"/>
    <mergeCell ref="K1036:L1036"/>
    <mergeCell ref="C1037:D1037"/>
    <mergeCell ref="E1037:F1037"/>
    <mergeCell ref="G1037:H1037"/>
    <mergeCell ref="I1037:J1037"/>
    <mergeCell ref="K1037:L1037"/>
    <mergeCell ref="K1034:L1034"/>
    <mergeCell ref="C1035:D1035"/>
    <mergeCell ref="E1035:F1035"/>
    <mergeCell ref="K1026:L1026"/>
    <mergeCell ref="C1027:D1027"/>
    <mergeCell ref="E1027:F1027"/>
    <mergeCell ref="G1027:H1027"/>
    <mergeCell ref="I1027:J1027"/>
    <mergeCell ref="K1027:L1027"/>
    <mergeCell ref="C1024:D1024"/>
    <mergeCell ref="E1024:F1024"/>
    <mergeCell ref="G1024:H1024"/>
    <mergeCell ref="I1024:J1024"/>
    <mergeCell ref="K1024:L1024"/>
    <mergeCell ref="B1025:B1038"/>
    <mergeCell ref="C1026:D1026"/>
    <mergeCell ref="E1026:F1026"/>
    <mergeCell ref="G1026:H1026"/>
    <mergeCell ref="I1026:J1026"/>
    <mergeCell ref="C1022:D1022"/>
    <mergeCell ref="E1022:F1022"/>
    <mergeCell ref="G1022:H1022"/>
    <mergeCell ref="I1022:J1022"/>
    <mergeCell ref="K1022:L1022"/>
    <mergeCell ref="C1023:D1023"/>
    <mergeCell ref="E1023:F1023"/>
    <mergeCell ref="G1023:H1023"/>
    <mergeCell ref="I1023:J1023"/>
    <mergeCell ref="K1023:L1023"/>
    <mergeCell ref="C1030:D1030"/>
    <mergeCell ref="E1030:F1030"/>
    <mergeCell ref="G1030:H1030"/>
    <mergeCell ref="I1030:J1030"/>
    <mergeCell ref="K1030:L1030"/>
    <mergeCell ref="C1031:D1031"/>
    <mergeCell ref="B1011:B1017"/>
    <mergeCell ref="C1012:D1012"/>
    <mergeCell ref="E1012:F1012"/>
    <mergeCell ref="G1012:H1012"/>
    <mergeCell ref="I1012:J1012"/>
    <mergeCell ref="K1012:L1012"/>
    <mergeCell ref="C1013:D1013"/>
    <mergeCell ref="E1013:F1013"/>
    <mergeCell ref="G1013:H1013"/>
    <mergeCell ref="I1013:J1013"/>
    <mergeCell ref="C1020:D1020"/>
    <mergeCell ref="E1020:F1020"/>
    <mergeCell ref="G1020:H1020"/>
    <mergeCell ref="I1020:J1020"/>
    <mergeCell ref="K1020:L1020"/>
    <mergeCell ref="C1021:D1021"/>
    <mergeCell ref="E1021:F1021"/>
    <mergeCell ref="G1021:H1021"/>
    <mergeCell ref="I1021:J1021"/>
    <mergeCell ref="K1021:L1021"/>
    <mergeCell ref="C1017:D1017"/>
    <mergeCell ref="E1017:F1017"/>
    <mergeCell ref="G1017:H1017"/>
    <mergeCell ref="I1017:J1017"/>
    <mergeCell ref="K1017:L1017"/>
    <mergeCell ref="C1019:D1019"/>
    <mergeCell ref="E1019:F1019"/>
    <mergeCell ref="G1019:H1019"/>
    <mergeCell ref="I1019:J1019"/>
    <mergeCell ref="K1019:L1019"/>
    <mergeCell ref="I1008:J1008"/>
    <mergeCell ref="K1008:L1008"/>
    <mergeCell ref="C1015:D1015"/>
    <mergeCell ref="E1015:F1015"/>
    <mergeCell ref="G1015:H1015"/>
    <mergeCell ref="I1015:J1015"/>
    <mergeCell ref="K1015:L1015"/>
    <mergeCell ref="C1016:D1016"/>
    <mergeCell ref="E1016:F1016"/>
    <mergeCell ref="G1016:H1016"/>
    <mergeCell ref="I1016:J1016"/>
    <mergeCell ref="K1016:L1016"/>
    <mergeCell ref="K1013:L1013"/>
    <mergeCell ref="C1014:D1014"/>
    <mergeCell ref="E1014:F1014"/>
    <mergeCell ref="G1014:H1014"/>
    <mergeCell ref="I1014:J1014"/>
    <mergeCell ref="K1014:L1014"/>
    <mergeCell ref="A1004:A1010"/>
    <mergeCell ref="C1005:D1005"/>
    <mergeCell ref="E1005:F1005"/>
    <mergeCell ref="G1005:H1005"/>
    <mergeCell ref="I1005:J1005"/>
    <mergeCell ref="C1001:D1001"/>
    <mergeCell ref="E1001:F1001"/>
    <mergeCell ref="G1001:H1001"/>
    <mergeCell ref="I1001:J1001"/>
    <mergeCell ref="K1001:L1001"/>
    <mergeCell ref="C1002:D1002"/>
    <mergeCell ref="E1002:F1002"/>
    <mergeCell ref="G1002:H1002"/>
    <mergeCell ref="I1002:J1002"/>
    <mergeCell ref="K1002:L1002"/>
    <mergeCell ref="C1009:D1009"/>
    <mergeCell ref="E1009:F1009"/>
    <mergeCell ref="G1009:H1009"/>
    <mergeCell ref="I1009:J1009"/>
    <mergeCell ref="K1009:L1009"/>
    <mergeCell ref="C1010:D1010"/>
    <mergeCell ref="E1010:F1010"/>
    <mergeCell ref="G1010:H1010"/>
    <mergeCell ref="I1010:J1010"/>
    <mergeCell ref="K1010:L1010"/>
    <mergeCell ref="C1007:D1007"/>
    <mergeCell ref="E1007:F1007"/>
    <mergeCell ref="G1007:H1007"/>
    <mergeCell ref="I1007:J1007"/>
    <mergeCell ref="K1007:L1007"/>
    <mergeCell ref="C1008:D1008"/>
    <mergeCell ref="E1008:F1008"/>
    <mergeCell ref="B997:B1010"/>
    <mergeCell ref="C998:D998"/>
    <mergeCell ref="E998:F998"/>
    <mergeCell ref="G998:H998"/>
    <mergeCell ref="I998:J998"/>
    <mergeCell ref="K998:L998"/>
    <mergeCell ref="C999:D999"/>
    <mergeCell ref="E999:F999"/>
    <mergeCell ref="G999:H999"/>
    <mergeCell ref="I999:J999"/>
    <mergeCell ref="C995:D995"/>
    <mergeCell ref="E995:F995"/>
    <mergeCell ref="G995:H995"/>
    <mergeCell ref="I995:J995"/>
    <mergeCell ref="K995:L995"/>
    <mergeCell ref="C996:D996"/>
    <mergeCell ref="E996:F996"/>
    <mergeCell ref="G996:H996"/>
    <mergeCell ref="I996:J996"/>
    <mergeCell ref="K996:L996"/>
    <mergeCell ref="K1005:L1005"/>
    <mergeCell ref="C1006:D1006"/>
    <mergeCell ref="E1006:F1006"/>
    <mergeCell ref="G1006:H1006"/>
    <mergeCell ref="I1006:J1006"/>
    <mergeCell ref="K1006:L1006"/>
    <mergeCell ref="C1003:D1003"/>
    <mergeCell ref="E1003:F1003"/>
    <mergeCell ref="G1003:H1003"/>
    <mergeCell ref="I1003:J1003"/>
    <mergeCell ref="K1003:L1003"/>
    <mergeCell ref="G1008:H1008"/>
    <mergeCell ref="C994:D994"/>
    <mergeCell ref="E994:F994"/>
    <mergeCell ref="G994:H994"/>
    <mergeCell ref="I994:J994"/>
    <mergeCell ref="K994:L994"/>
    <mergeCell ref="C991:D991"/>
    <mergeCell ref="E991:F991"/>
    <mergeCell ref="G991:H991"/>
    <mergeCell ref="I991:J991"/>
    <mergeCell ref="K991:L991"/>
    <mergeCell ref="C992:D992"/>
    <mergeCell ref="E992:F992"/>
    <mergeCell ref="G992:H992"/>
    <mergeCell ref="I992:J992"/>
    <mergeCell ref="K992:L992"/>
    <mergeCell ref="K999:L999"/>
    <mergeCell ref="C1000:D1000"/>
    <mergeCell ref="E1000:F1000"/>
    <mergeCell ref="G1000:H1000"/>
    <mergeCell ref="I1000:J1000"/>
    <mergeCell ref="K1000:L1000"/>
    <mergeCell ref="E989:F989"/>
    <mergeCell ref="G989:H989"/>
    <mergeCell ref="I989:J989"/>
    <mergeCell ref="K989:L989"/>
    <mergeCell ref="C986:D986"/>
    <mergeCell ref="E986:F986"/>
    <mergeCell ref="G986:H986"/>
    <mergeCell ref="I986:J986"/>
    <mergeCell ref="K986:L986"/>
    <mergeCell ref="C987:D987"/>
    <mergeCell ref="E987:F987"/>
    <mergeCell ref="G987:H987"/>
    <mergeCell ref="I987:J987"/>
    <mergeCell ref="K987:L987"/>
    <mergeCell ref="C993:D993"/>
    <mergeCell ref="E993:F993"/>
    <mergeCell ref="G993:H993"/>
    <mergeCell ref="I993:J993"/>
    <mergeCell ref="K993:L993"/>
    <mergeCell ref="K984:L984"/>
    <mergeCell ref="C985:D985"/>
    <mergeCell ref="E985:F985"/>
    <mergeCell ref="G985:H985"/>
    <mergeCell ref="I985:J985"/>
    <mergeCell ref="K985:L985"/>
    <mergeCell ref="C982:D982"/>
    <mergeCell ref="E982:F982"/>
    <mergeCell ref="G982:H982"/>
    <mergeCell ref="I982:J982"/>
    <mergeCell ref="K982:L982"/>
    <mergeCell ref="B983:B989"/>
    <mergeCell ref="C984:D984"/>
    <mergeCell ref="E984:F984"/>
    <mergeCell ref="G984:H984"/>
    <mergeCell ref="I984:J984"/>
    <mergeCell ref="C980:D980"/>
    <mergeCell ref="E980:F980"/>
    <mergeCell ref="G980:H980"/>
    <mergeCell ref="I980:J980"/>
    <mergeCell ref="K980:L980"/>
    <mergeCell ref="C981:D981"/>
    <mergeCell ref="E981:F981"/>
    <mergeCell ref="G981:H981"/>
    <mergeCell ref="I981:J981"/>
    <mergeCell ref="K981:L981"/>
    <mergeCell ref="C988:D988"/>
    <mergeCell ref="E988:F988"/>
    <mergeCell ref="G988:H988"/>
    <mergeCell ref="I988:J988"/>
    <mergeCell ref="K988:L988"/>
    <mergeCell ref="C989:D989"/>
    <mergeCell ref="K978:L978"/>
    <mergeCell ref="C979:D979"/>
    <mergeCell ref="E979:F979"/>
    <mergeCell ref="G979:H979"/>
    <mergeCell ref="I979:J979"/>
    <mergeCell ref="K979:L979"/>
    <mergeCell ref="A976:A982"/>
    <mergeCell ref="C977:D977"/>
    <mergeCell ref="E977:F977"/>
    <mergeCell ref="G977:H977"/>
    <mergeCell ref="I977:J977"/>
    <mergeCell ref="K977:L977"/>
    <mergeCell ref="C978:D978"/>
    <mergeCell ref="E978:F978"/>
    <mergeCell ref="G978:H978"/>
    <mergeCell ref="I978:J978"/>
    <mergeCell ref="C974:D974"/>
    <mergeCell ref="E974:F974"/>
    <mergeCell ref="G974:H974"/>
    <mergeCell ref="I974:J974"/>
    <mergeCell ref="K974:L974"/>
    <mergeCell ref="C975:D975"/>
    <mergeCell ref="E975:F975"/>
    <mergeCell ref="G975:H975"/>
    <mergeCell ref="I975:J975"/>
    <mergeCell ref="K975:L975"/>
    <mergeCell ref="B969:B982"/>
    <mergeCell ref="C972:D972"/>
    <mergeCell ref="E972:F972"/>
    <mergeCell ref="G972:H972"/>
    <mergeCell ref="I972:J972"/>
    <mergeCell ref="K972:L972"/>
    <mergeCell ref="C973:D973"/>
    <mergeCell ref="E973:F973"/>
    <mergeCell ref="G973:H973"/>
    <mergeCell ref="I973:J973"/>
    <mergeCell ref="K973:L973"/>
    <mergeCell ref="K970:L970"/>
    <mergeCell ref="C971:D971"/>
    <mergeCell ref="E971:F971"/>
    <mergeCell ref="G971:H971"/>
    <mergeCell ref="I971:J971"/>
    <mergeCell ref="K971:L971"/>
    <mergeCell ref="C968:D968"/>
    <mergeCell ref="E968:F968"/>
    <mergeCell ref="G968:H968"/>
    <mergeCell ref="I968:J968"/>
    <mergeCell ref="K968:L968"/>
    <mergeCell ref="C970:D970"/>
    <mergeCell ref="E970:F970"/>
    <mergeCell ref="G970:H970"/>
    <mergeCell ref="I970:J970"/>
    <mergeCell ref="C966:D966"/>
    <mergeCell ref="E966:F966"/>
    <mergeCell ref="G966:H966"/>
    <mergeCell ref="I966:J966"/>
    <mergeCell ref="K966:L966"/>
    <mergeCell ref="C967:D967"/>
    <mergeCell ref="E967:F967"/>
    <mergeCell ref="G967:H967"/>
    <mergeCell ref="I967:J967"/>
    <mergeCell ref="K967:L967"/>
    <mergeCell ref="C964:D964"/>
    <mergeCell ref="E964:F964"/>
    <mergeCell ref="G964:H964"/>
    <mergeCell ref="I964:J964"/>
    <mergeCell ref="K964:L964"/>
    <mergeCell ref="C965:D965"/>
    <mergeCell ref="E965:F965"/>
    <mergeCell ref="G965:H965"/>
    <mergeCell ref="I965:J965"/>
    <mergeCell ref="K965:L965"/>
    <mergeCell ref="C961:D961"/>
    <mergeCell ref="E961:F961"/>
    <mergeCell ref="G961:H961"/>
    <mergeCell ref="I961:J961"/>
    <mergeCell ref="K961:L961"/>
    <mergeCell ref="C963:D963"/>
    <mergeCell ref="E963:F963"/>
    <mergeCell ref="G963:H963"/>
    <mergeCell ref="I963:J963"/>
    <mergeCell ref="K963:L963"/>
    <mergeCell ref="C959:D959"/>
    <mergeCell ref="E959:F959"/>
    <mergeCell ref="G959:H959"/>
    <mergeCell ref="I959:J959"/>
    <mergeCell ref="K959:L959"/>
    <mergeCell ref="C960:D960"/>
    <mergeCell ref="E960:F960"/>
    <mergeCell ref="G960:H960"/>
    <mergeCell ref="I960:J960"/>
    <mergeCell ref="K960:L960"/>
    <mergeCell ref="A948:A954"/>
    <mergeCell ref="C949:D949"/>
    <mergeCell ref="E949:F949"/>
    <mergeCell ref="G949:H949"/>
    <mergeCell ref="I949:J949"/>
    <mergeCell ref="K949:L949"/>
    <mergeCell ref="C950:D950"/>
    <mergeCell ref="E950:F950"/>
    <mergeCell ref="G950:H950"/>
    <mergeCell ref="I950:J950"/>
    <mergeCell ref="C957:D957"/>
    <mergeCell ref="E957:F957"/>
    <mergeCell ref="G957:H957"/>
    <mergeCell ref="I957:J957"/>
    <mergeCell ref="K957:L957"/>
    <mergeCell ref="C958:D958"/>
    <mergeCell ref="E958:F958"/>
    <mergeCell ref="G958:H958"/>
    <mergeCell ref="I958:J958"/>
    <mergeCell ref="K958:L958"/>
    <mergeCell ref="C954:D954"/>
    <mergeCell ref="E954:F954"/>
    <mergeCell ref="G954:H954"/>
    <mergeCell ref="I954:J954"/>
    <mergeCell ref="K954:L954"/>
    <mergeCell ref="C956:D956"/>
    <mergeCell ref="E956:F956"/>
    <mergeCell ref="G956:H956"/>
    <mergeCell ref="I956:J956"/>
    <mergeCell ref="K956:L956"/>
    <mergeCell ref="I945:J945"/>
    <mergeCell ref="K945:L945"/>
    <mergeCell ref="C952:D952"/>
    <mergeCell ref="E952:F952"/>
    <mergeCell ref="G952:H952"/>
    <mergeCell ref="I952:J952"/>
    <mergeCell ref="K952:L952"/>
    <mergeCell ref="C953:D953"/>
    <mergeCell ref="E953:F953"/>
    <mergeCell ref="G953:H953"/>
    <mergeCell ref="I953:J953"/>
    <mergeCell ref="K953:L953"/>
    <mergeCell ref="K950:L950"/>
    <mergeCell ref="C951:D951"/>
    <mergeCell ref="E951:F951"/>
    <mergeCell ref="G951:H951"/>
    <mergeCell ref="I951:J951"/>
    <mergeCell ref="K951:L951"/>
    <mergeCell ref="A941:A947"/>
    <mergeCell ref="C942:D942"/>
    <mergeCell ref="E942:F942"/>
    <mergeCell ref="G942:H942"/>
    <mergeCell ref="I942:J942"/>
    <mergeCell ref="C938:D938"/>
    <mergeCell ref="E938:F938"/>
    <mergeCell ref="G938:H938"/>
    <mergeCell ref="I938:J938"/>
    <mergeCell ref="K938:L938"/>
    <mergeCell ref="C939:D939"/>
    <mergeCell ref="E939:F939"/>
    <mergeCell ref="G939:H939"/>
    <mergeCell ref="I939:J939"/>
    <mergeCell ref="K939:L939"/>
    <mergeCell ref="C946:D946"/>
    <mergeCell ref="E946:F946"/>
    <mergeCell ref="G946:H946"/>
    <mergeCell ref="I946:J946"/>
    <mergeCell ref="K946:L946"/>
    <mergeCell ref="C947:D947"/>
    <mergeCell ref="E947:F947"/>
    <mergeCell ref="G947:H947"/>
    <mergeCell ref="I947:J947"/>
    <mergeCell ref="K947:L947"/>
    <mergeCell ref="C944:D944"/>
    <mergeCell ref="E944:F944"/>
    <mergeCell ref="G944:H944"/>
    <mergeCell ref="I944:J944"/>
    <mergeCell ref="K944:L944"/>
    <mergeCell ref="C945:D945"/>
    <mergeCell ref="E945:F945"/>
    <mergeCell ref="B934:B947"/>
    <mergeCell ref="C935:D935"/>
    <mergeCell ref="E935:F935"/>
    <mergeCell ref="G935:H935"/>
    <mergeCell ref="I935:J935"/>
    <mergeCell ref="K935:L935"/>
    <mergeCell ref="C936:D936"/>
    <mergeCell ref="E936:F936"/>
    <mergeCell ref="G936:H936"/>
    <mergeCell ref="I936:J936"/>
    <mergeCell ref="C932:D932"/>
    <mergeCell ref="E932:F932"/>
    <mergeCell ref="G932:H932"/>
    <mergeCell ref="I932:J932"/>
    <mergeCell ref="K932:L932"/>
    <mergeCell ref="C933:D933"/>
    <mergeCell ref="E933:F933"/>
    <mergeCell ref="G933:H933"/>
    <mergeCell ref="I933:J933"/>
    <mergeCell ref="K933:L933"/>
    <mergeCell ref="K942:L942"/>
    <mergeCell ref="C943:D943"/>
    <mergeCell ref="E943:F943"/>
    <mergeCell ref="G943:H943"/>
    <mergeCell ref="I943:J943"/>
    <mergeCell ref="K943:L943"/>
    <mergeCell ref="C940:D940"/>
    <mergeCell ref="E940:F940"/>
    <mergeCell ref="G940:H940"/>
    <mergeCell ref="I940:J940"/>
    <mergeCell ref="K940:L940"/>
    <mergeCell ref="G945:H945"/>
    <mergeCell ref="C931:D931"/>
    <mergeCell ref="E931:F931"/>
    <mergeCell ref="G931:H931"/>
    <mergeCell ref="I931:J931"/>
    <mergeCell ref="K931:L931"/>
    <mergeCell ref="C928:D928"/>
    <mergeCell ref="E928:F928"/>
    <mergeCell ref="G928:H928"/>
    <mergeCell ref="I928:J928"/>
    <mergeCell ref="K928:L928"/>
    <mergeCell ref="C929:D929"/>
    <mergeCell ref="E929:F929"/>
    <mergeCell ref="G929:H929"/>
    <mergeCell ref="I929:J929"/>
    <mergeCell ref="K929:L929"/>
    <mergeCell ref="K936:L936"/>
    <mergeCell ref="C937:D937"/>
    <mergeCell ref="E937:F937"/>
    <mergeCell ref="G937:H937"/>
    <mergeCell ref="I937:J937"/>
    <mergeCell ref="K937:L937"/>
    <mergeCell ref="E926:F926"/>
    <mergeCell ref="G926:H926"/>
    <mergeCell ref="I926:J926"/>
    <mergeCell ref="K926:L926"/>
    <mergeCell ref="C923:D923"/>
    <mergeCell ref="E923:F923"/>
    <mergeCell ref="G923:H923"/>
    <mergeCell ref="I923:J923"/>
    <mergeCell ref="K923:L923"/>
    <mergeCell ref="C924:D924"/>
    <mergeCell ref="E924:F924"/>
    <mergeCell ref="G924:H924"/>
    <mergeCell ref="I924:J924"/>
    <mergeCell ref="K924:L924"/>
    <mergeCell ref="C930:D930"/>
    <mergeCell ref="E930:F930"/>
    <mergeCell ref="G930:H930"/>
    <mergeCell ref="I930:J930"/>
    <mergeCell ref="K930:L930"/>
    <mergeCell ref="K921:L921"/>
    <mergeCell ref="C922:D922"/>
    <mergeCell ref="E922:F922"/>
    <mergeCell ref="G922:H922"/>
    <mergeCell ref="I922:J922"/>
    <mergeCell ref="K922:L922"/>
    <mergeCell ref="C919:D919"/>
    <mergeCell ref="E919:F919"/>
    <mergeCell ref="G919:H919"/>
    <mergeCell ref="I919:J919"/>
    <mergeCell ref="K919:L919"/>
    <mergeCell ref="B920:B926"/>
    <mergeCell ref="C921:D921"/>
    <mergeCell ref="E921:F921"/>
    <mergeCell ref="G921:H921"/>
    <mergeCell ref="I921:J921"/>
    <mergeCell ref="C917:D917"/>
    <mergeCell ref="E917:F917"/>
    <mergeCell ref="G917:H917"/>
    <mergeCell ref="I917:J917"/>
    <mergeCell ref="K917:L917"/>
    <mergeCell ref="C918:D918"/>
    <mergeCell ref="E918:F918"/>
    <mergeCell ref="G918:H918"/>
    <mergeCell ref="I918:J918"/>
    <mergeCell ref="K918:L918"/>
    <mergeCell ref="C925:D925"/>
    <mergeCell ref="E925:F925"/>
    <mergeCell ref="G925:H925"/>
    <mergeCell ref="I925:J925"/>
    <mergeCell ref="K925:L925"/>
    <mergeCell ref="C926:D926"/>
    <mergeCell ref="K915:L915"/>
    <mergeCell ref="C916:D916"/>
    <mergeCell ref="E916:F916"/>
    <mergeCell ref="G916:H916"/>
    <mergeCell ref="I916:J916"/>
    <mergeCell ref="K916:L916"/>
    <mergeCell ref="A913:A919"/>
    <mergeCell ref="C914:D914"/>
    <mergeCell ref="E914:F914"/>
    <mergeCell ref="G914:H914"/>
    <mergeCell ref="I914:J914"/>
    <mergeCell ref="K914:L914"/>
    <mergeCell ref="C915:D915"/>
    <mergeCell ref="E915:F915"/>
    <mergeCell ref="G915:H915"/>
    <mergeCell ref="I915:J915"/>
    <mergeCell ref="C911:D911"/>
    <mergeCell ref="E911:F911"/>
    <mergeCell ref="G911:H911"/>
    <mergeCell ref="I911:J911"/>
    <mergeCell ref="K911:L911"/>
    <mergeCell ref="C912:D912"/>
    <mergeCell ref="E912:F912"/>
    <mergeCell ref="G912:H912"/>
    <mergeCell ref="I912:J912"/>
    <mergeCell ref="K912:L912"/>
    <mergeCell ref="B906:B919"/>
    <mergeCell ref="C909:D909"/>
    <mergeCell ref="E909:F909"/>
    <mergeCell ref="G909:H909"/>
    <mergeCell ref="I909:J909"/>
    <mergeCell ref="K909:L909"/>
    <mergeCell ref="C910:D910"/>
    <mergeCell ref="E910:F910"/>
    <mergeCell ref="G910:H910"/>
    <mergeCell ref="I910:J910"/>
    <mergeCell ref="K910:L910"/>
    <mergeCell ref="K907:L907"/>
    <mergeCell ref="C908:D908"/>
    <mergeCell ref="E908:F908"/>
    <mergeCell ref="G908:H908"/>
    <mergeCell ref="I908:J908"/>
    <mergeCell ref="K908:L908"/>
    <mergeCell ref="C905:D905"/>
    <mergeCell ref="E905:F905"/>
    <mergeCell ref="G905:H905"/>
    <mergeCell ref="I905:J905"/>
    <mergeCell ref="K905:L905"/>
    <mergeCell ref="C907:D907"/>
    <mergeCell ref="E907:F907"/>
    <mergeCell ref="G907:H907"/>
    <mergeCell ref="I907:J907"/>
    <mergeCell ref="C903:D903"/>
    <mergeCell ref="E903:F903"/>
    <mergeCell ref="G903:H903"/>
    <mergeCell ref="I903:J903"/>
    <mergeCell ref="K903:L903"/>
    <mergeCell ref="C904:D904"/>
    <mergeCell ref="E904:F904"/>
    <mergeCell ref="G904:H904"/>
    <mergeCell ref="I904:J904"/>
    <mergeCell ref="K904:L904"/>
    <mergeCell ref="C901:D901"/>
    <mergeCell ref="E901:F901"/>
    <mergeCell ref="G901:H901"/>
    <mergeCell ref="I901:J901"/>
    <mergeCell ref="K901:L901"/>
    <mergeCell ref="C902:D902"/>
    <mergeCell ref="E902:F902"/>
    <mergeCell ref="G902:H902"/>
    <mergeCell ref="I902:J902"/>
    <mergeCell ref="K902:L902"/>
    <mergeCell ref="C898:D898"/>
    <mergeCell ref="E898:F898"/>
    <mergeCell ref="G898:H898"/>
    <mergeCell ref="I898:J898"/>
    <mergeCell ref="K898:L898"/>
    <mergeCell ref="C900:D900"/>
    <mergeCell ref="E900:F900"/>
    <mergeCell ref="G900:H900"/>
    <mergeCell ref="I900:J900"/>
    <mergeCell ref="K900:L900"/>
    <mergeCell ref="C896:D896"/>
    <mergeCell ref="E896:F896"/>
    <mergeCell ref="G896:H896"/>
    <mergeCell ref="I896:J896"/>
    <mergeCell ref="K896:L896"/>
    <mergeCell ref="C897:D897"/>
    <mergeCell ref="E897:F897"/>
    <mergeCell ref="G897:H897"/>
    <mergeCell ref="I897:J897"/>
    <mergeCell ref="K897:L897"/>
    <mergeCell ref="A885:A891"/>
    <mergeCell ref="C886:D886"/>
    <mergeCell ref="E886:F886"/>
    <mergeCell ref="G886:H886"/>
    <mergeCell ref="I886:J886"/>
    <mergeCell ref="K886:L886"/>
    <mergeCell ref="C887:D887"/>
    <mergeCell ref="E887:F887"/>
    <mergeCell ref="G887:H887"/>
    <mergeCell ref="I887:J887"/>
    <mergeCell ref="C894:D894"/>
    <mergeCell ref="E894:F894"/>
    <mergeCell ref="G894:H894"/>
    <mergeCell ref="I894:J894"/>
    <mergeCell ref="K894:L894"/>
    <mergeCell ref="C895:D895"/>
    <mergeCell ref="E895:F895"/>
    <mergeCell ref="G895:H895"/>
    <mergeCell ref="I895:J895"/>
    <mergeCell ref="K895:L895"/>
    <mergeCell ref="C891:D891"/>
    <mergeCell ref="E891:F891"/>
    <mergeCell ref="G891:H891"/>
    <mergeCell ref="I891:J891"/>
    <mergeCell ref="K891:L891"/>
    <mergeCell ref="C893:D893"/>
    <mergeCell ref="E893:F893"/>
    <mergeCell ref="G893:H893"/>
    <mergeCell ref="I893:J893"/>
    <mergeCell ref="K893:L893"/>
    <mergeCell ref="I882:J882"/>
    <mergeCell ref="K882:L882"/>
    <mergeCell ref="C889:D889"/>
    <mergeCell ref="E889:F889"/>
    <mergeCell ref="G889:H889"/>
    <mergeCell ref="I889:J889"/>
    <mergeCell ref="K889:L889"/>
    <mergeCell ref="C890:D890"/>
    <mergeCell ref="E890:F890"/>
    <mergeCell ref="G890:H890"/>
    <mergeCell ref="I890:J890"/>
    <mergeCell ref="K890:L890"/>
    <mergeCell ref="K887:L887"/>
    <mergeCell ref="C888:D888"/>
    <mergeCell ref="E888:F888"/>
    <mergeCell ref="G888:H888"/>
    <mergeCell ref="I888:J888"/>
    <mergeCell ref="K888:L888"/>
    <mergeCell ref="A878:A884"/>
    <mergeCell ref="C879:D879"/>
    <mergeCell ref="E879:F879"/>
    <mergeCell ref="G879:H879"/>
    <mergeCell ref="I879:J879"/>
    <mergeCell ref="C875:D875"/>
    <mergeCell ref="E875:F875"/>
    <mergeCell ref="G875:H875"/>
    <mergeCell ref="I875:J875"/>
    <mergeCell ref="K875:L875"/>
    <mergeCell ref="C876:D876"/>
    <mergeCell ref="E876:F876"/>
    <mergeCell ref="G876:H876"/>
    <mergeCell ref="I876:J876"/>
    <mergeCell ref="K876:L876"/>
    <mergeCell ref="C883:D883"/>
    <mergeCell ref="E883:F883"/>
    <mergeCell ref="G883:H883"/>
    <mergeCell ref="I883:J883"/>
    <mergeCell ref="K883:L883"/>
    <mergeCell ref="C884:D884"/>
    <mergeCell ref="E884:F884"/>
    <mergeCell ref="G884:H884"/>
    <mergeCell ref="I884:J884"/>
    <mergeCell ref="K884:L884"/>
    <mergeCell ref="C881:D881"/>
    <mergeCell ref="E881:F881"/>
    <mergeCell ref="G881:H881"/>
    <mergeCell ref="I881:J881"/>
    <mergeCell ref="K881:L881"/>
    <mergeCell ref="C882:D882"/>
    <mergeCell ref="E882:F882"/>
    <mergeCell ref="B871:B884"/>
    <mergeCell ref="C872:D872"/>
    <mergeCell ref="E872:F872"/>
    <mergeCell ref="G872:H872"/>
    <mergeCell ref="I872:J872"/>
    <mergeCell ref="K872:L872"/>
    <mergeCell ref="C873:D873"/>
    <mergeCell ref="E873:F873"/>
    <mergeCell ref="G873:H873"/>
    <mergeCell ref="I873:J873"/>
    <mergeCell ref="C869:D869"/>
    <mergeCell ref="E869:F869"/>
    <mergeCell ref="G869:H869"/>
    <mergeCell ref="I869:J869"/>
    <mergeCell ref="K869:L869"/>
    <mergeCell ref="C870:D870"/>
    <mergeCell ref="E870:F870"/>
    <mergeCell ref="G870:H870"/>
    <mergeCell ref="I870:J870"/>
    <mergeCell ref="K870:L870"/>
    <mergeCell ref="K879:L879"/>
    <mergeCell ref="C880:D880"/>
    <mergeCell ref="E880:F880"/>
    <mergeCell ref="G880:H880"/>
    <mergeCell ref="I880:J880"/>
    <mergeCell ref="K880:L880"/>
    <mergeCell ref="C877:D877"/>
    <mergeCell ref="E877:F877"/>
    <mergeCell ref="G877:H877"/>
    <mergeCell ref="I877:J877"/>
    <mergeCell ref="K877:L877"/>
    <mergeCell ref="G882:H882"/>
    <mergeCell ref="C868:D868"/>
    <mergeCell ref="E868:F868"/>
    <mergeCell ref="G868:H868"/>
    <mergeCell ref="I868:J868"/>
    <mergeCell ref="K868:L868"/>
    <mergeCell ref="C865:D865"/>
    <mergeCell ref="E865:F865"/>
    <mergeCell ref="G865:H865"/>
    <mergeCell ref="I865:J865"/>
    <mergeCell ref="K865:L865"/>
    <mergeCell ref="C866:D866"/>
    <mergeCell ref="E866:F866"/>
    <mergeCell ref="G866:H866"/>
    <mergeCell ref="I866:J866"/>
    <mergeCell ref="K866:L866"/>
    <mergeCell ref="K873:L873"/>
    <mergeCell ref="C874:D874"/>
    <mergeCell ref="E874:F874"/>
    <mergeCell ref="G874:H874"/>
    <mergeCell ref="I874:J874"/>
    <mergeCell ref="K874:L874"/>
    <mergeCell ref="G863:H863"/>
    <mergeCell ref="I863:J863"/>
    <mergeCell ref="K863:L863"/>
    <mergeCell ref="C860:D860"/>
    <mergeCell ref="E860:F860"/>
    <mergeCell ref="G860:H860"/>
    <mergeCell ref="I860:J860"/>
    <mergeCell ref="K860:L860"/>
    <mergeCell ref="C861:D861"/>
    <mergeCell ref="E861:F861"/>
    <mergeCell ref="G861:H861"/>
    <mergeCell ref="I861:J861"/>
    <mergeCell ref="K861:L861"/>
    <mergeCell ref="C867:D867"/>
    <mergeCell ref="E867:F867"/>
    <mergeCell ref="G867:H867"/>
    <mergeCell ref="I867:J867"/>
    <mergeCell ref="K867:L867"/>
    <mergeCell ref="C859:D859"/>
    <mergeCell ref="E859:F859"/>
    <mergeCell ref="G859:H859"/>
    <mergeCell ref="I859:J859"/>
    <mergeCell ref="K859:L859"/>
    <mergeCell ref="C856:D856"/>
    <mergeCell ref="E856:F856"/>
    <mergeCell ref="G856:H856"/>
    <mergeCell ref="I856:J856"/>
    <mergeCell ref="K856:L856"/>
    <mergeCell ref="B857:B863"/>
    <mergeCell ref="C858:D858"/>
    <mergeCell ref="E858:F858"/>
    <mergeCell ref="G858:H858"/>
    <mergeCell ref="I858:J858"/>
    <mergeCell ref="C854:D854"/>
    <mergeCell ref="E854:F854"/>
    <mergeCell ref="G854:H854"/>
    <mergeCell ref="I854:J854"/>
    <mergeCell ref="K854:L854"/>
    <mergeCell ref="C855:D855"/>
    <mergeCell ref="E855:F855"/>
    <mergeCell ref="G855:H855"/>
    <mergeCell ref="I855:J855"/>
    <mergeCell ref="K855:L855"/>
    <mergeCell ref="C862:D862"/>
    <mergeCell ref="E862:F862"/>
    <mergeCell ref="G862:H862"/>
    <mergeCell ref="I862:J862"/>
    <mergeCell ref="K862:L862"/>
    <mergeCell ref="C863:D863"/>
    <mergeCell ref="E863:F863"/>
    <mergeCell ref="I851:J851"/>
    <mergeCell ref="K851:L851"/>
    <mergeCell ref="C852:D852"/>
    <mergeCell ref="E852:F852"/>
    <mergeCell ref="G852:H852"/>
    <mergeCell ref="I852:J852"/>
    <mergeCell ref="C848:D848"/>
    <mergeCell ref="E848:F848"/>
    <mergeCell ref="G848:H848"/>
    <mergeCell ref="I848:J848"/>
    <mergeCell ref="K848:L848"/>
    <mergeCell ref="C849:D849"/>
    <mergeCell ref="E849:F849"/>
    <mergeCell ref="G849:H849"/>
    <mergeCell ref="I849:J849"/>
    <mergeCell ref="K849:L849"/>
    <mergeCell ref="K858:L858"/>
    <mergeCell ref="K846:L846"/>
    <mergeCell ref="C847:D847"/>
    <mergeCell ref="E847:F847"/>
    <mergeCell ref="G847:H847"/>
    <mergeCell ref="I847:J847"/>
    <mergeCell ref="K847:L847"/>
    <mergeCell ref="K844:L844"/>
    <mergeCell ref="C845:D845"/>
    <mergeCell ref="E845:F845"/>
    <mergeCell ref="G845:H845"/>
    <mergeCell ref="I845:J845"/>
    <mergeCell ref="K845:L845"/>
    <mergeCell ref="A843:A849"/>
    <mergeCell ref="B843:B856"/>
    <mergeCell ref="C844:D844"/>
    <mergeCell ref="E844:F844"/>
    <mergeCell ref="G844:H844"/>
    <mergeCell ref="I844:J844"/>
    <mergeCell ref="C846:D846"/>
    <mergeCell ref="E846:F846"/>
    <mergeCell ref="G846:H846"/>
    <mergeCell ref="I846:J846"/>
    <mergeCell ref="K852:L852"/>
    <mergeCell ref="C853:D853"/>
    <mergeCell ref="E853:F853"/>
    <mergeCell ref="G853:H853"/>
    <mergeCell ref="I853:J853"/>
    <mergeCell ref="K853:L853"/>
    <mergeCell ref="A850:A856"/>
    <mergeCell ref="C851:D851"/>
    <mergeCell ref="E851:F851"/>
    <mergeCell ref="G851:H851"/>
    <mergeCell ref="C841:D841"/>
    <mergeCell ref="E841:F841"/>
    <mergeCell ref="G841:H841"/>
    <mergeCell ref="I841:J841"/>
    <mergeCell ref="K841:L841"/>
    <mergeCell ref="C842:D842"/>
    <mergeCell ref="E842:F842"/>
    <mergeCell ref="G842:H842"/>
    <mergeCell ref="I842:J842"/>
    <mergeCell ref="K842:L842"/>
    <mergeCell ref="C839:D839"/>
    <mergeCell ref="E839:F839"/>
    <mergeCell ref="G839:H839"/>
    <mergeCell ref="I839:J839"/>
    <mergeCell ref="K839:L839"/>
    <mergeCell ref="C840:D840"/>
    <mergeCell ref="E840:F840"/>
    <mergeCell ref="G840:H840"/>
    <mergeCell ref="I840:J840"/>
    <mergeCell ref="K840:L840"/>
    <mergeCell ref="C837:D837"/>
    <mergeCell ref="E837:F837"/>
    <mergeCell ref="G837:H837"/>
    <mergeCell ref="I837:J837"/>
    <mergeCell ref="K837:L837"/>
    <mergeCell ref="C838:D838"/>
    <mergeCell ref="E838:F838"/>
    <mergeCell ref="G838:H838"/>
    <mergeCell ref="I838:J838"/>
    <mergeCell ref="K838:L838"/>
    <mergeCell ref="C834:D834"/>
    <mergeCell ref="E834:F834"/>
    <mergeCell ref="G834:H834"/>
    <mergeCell ref="I834:J834"/>
    <mergeCell ref="K834:L834"/>
    <mergeCell ref="C835:D835"/>
    <mergeCell ref="E835:F835"/>
    <mergeCell ref="G835:H835"/>
    <mergeCell ref="I835:J835"/>
    <mergeCell ref="K835:L835"/>
    <mergeCell ref="G824:H824"/>
    <mergeCell ref="I824:J824"/>
    <mergeCell ref="K824:L824"/>
    <mergeCell ref="C825:D825"/>
    <mergeCell ref="E825:F825"/>
    <mergeCell ref="G825:H825"/>
    <mergeCell ref="I825:J825"/>
    <mergeCell ref="K825:L825"/>
    <mergeCell ref="C832:D832"/>
    <mergeCell ref="E832:F832"/>
    <mergeCell ref="G832:H832"/>
    <mergeCell ref="I832:J832"/>
    <mergeCell ref="K832:L832"/>
    <mergeCell ref="C833:D833"/>
    <mergeCell ref="E833:F833"/>
    <mergeCell ref="G833:H833"/>
    <mergeCell ref="I833:J833"/>
    <mergeCell ref="K833:L833"/>
    <mergeCell ref="K830:L830"/>
    <mergeCell ref="C831:D831"/>
    <mergeCell ref="E831:F831"/>
    <mergeCell ref="G831:H831"/>
    <mergeCell ref="I831:J831"/>
    <mergeCell ref="K831:L831"/>
    <mergeCell ref="C828:D828"/>
    <mergeCell ref="E828:F828"/>
    <mergeCell ref="G828:H828"/>
    <mergeCell ref="I828:J828"/>
    <mergeCell ref="K828:L828"/>
    <mergeCell ref="C823:D823"/>
    <mergeCell ref="E823:F823"/>
    <mergeCell ref="G823:H823"/>
    <mergeCell ref="I823:J823"/>
    <mergeCell ref="K823:L823"/>
    <mergeCell ref="C819:D819"/>
    <mergeCell ref="E819:F819"/>
    <mergeCell ref="G819:H819"/>
    <mergeCell ref="I819:J819"/>
    <mergeCell ref="K819:L819"/>
    <mergeCell ref="C820:D820"/>
    <mergeCell ref="E820:F820"/>
    <mergeCell ref="G820:H820"/>
    <mergeCell ref="I820:J820"/>
    <mergeCell ref="K820:L820"/>
    <mergeCell ref="B829:B835"/>
    <mergeCell ref="C830:D830"/>
    <mergeCell ref="E830:F830"/>
    <mergeCell ref="G830:H830"/>
    <mergeCell ref="I830:J830"/>
    <mergeCell ref="C826:D826"/>
    <mergeCell ref="E826:F826"/>
    <mergeCell ref="G826:H826"/>
    <mergeCell ref="I826:J826"/>
    <mergeCell ref="K826:L826"/>
    <mergeCell ref="C827:D827"/>
    <mergeCell ref="E827:F827"/>
    <mergeCell ref="G827:H827"/>
    <mergeCell ref="I827:J827"/>
    <mergeCell ref="K827:L827"/>
    <mergeCell ref="C824:D824"/>
    <mergeCell ref="E824:F824"/>
    <mergeCell ref="E818:F818"/>
    <mergeCell ref="G818:H818"/>
    <mergeCell ref="I818:J818"/>
    <mergeCell ref="K818:L818"/>
    <mergeCell ref="C814:D814"/>
    <mergeCell ref="E814:F814"/>
    <mergeCell ref="G814:H814"/>
    <mergeCell ref="I814:J814"/>
    <mergeCell ref="K814:L814"/>
    <mergeCell ref="C816:D816"/>
    <mergeCell ref="E816:F816"/>
    <mergeCell ref="I816:J816"/>
    <mergeCell ref="K816:L816"/>
    <mergeCell ref="C821:D821"/>
    <mergeCell ref="E821:F821"/>
    <mergeCell ref="G821:H821"/>
    <mergeCell ref="I821:J821"/>
    <mergeCell ref="K821:L821"/>
    <mergeCell ref="C812:D812"/>
    <mergeCell ref="E812:F812"/>
    <mergeCell ref="G812:H812"/>
    <mergeCell ref="I812:J812"/>
    <mergeCell ref="K812:L812"/>
    <mergeCell ref="C813:D813"/>
    <mergeCell ref="E813:F813"/>
    <mergeCell ref="G813:H813"/>
    <mergeCell ref="I813:J813"/>
    <mergeCell ref="K813:L813"/>
    <mergeCell ref="K810:L810"/>
    <mergeCell ref="C811:D811"/>
    <mergeCell ref="E811:F811"/>
    <mergeCell ref="G811:H811"/>
    <mergeCell ref="I811:J811"/>
    <mergeCell ref="K811:L811"/>
    <mergeCell ref="A808:B828"/>
    <mergeCell ref="C809:D809"/>
    <mergeCell ref="E809:F809"/>
    <mergeCell ref="G809:H809"/>
    <mergeCell ref="I809:J809"/>
    <mergeCell ref="K809:L809"/>
    <mergeCell ref="C810:D810"/>
    <mergeCell ref="E810:F810"/>
    <mergeCell ref="G810:H810"/>
    <mergeCell ref="I810:J810"/>
    <mergeCell ref="C817:D817"/>
    <mergeCell ref="E817:F817"/>
    <mergeCell ref="G817:H817"/>
    <mergeCell ref="I817:J817"/>
    <mergeCell ref="K817:L817"/>
    <mergeCell ref="C818:D818"/>
    <mergeCell ref="C806:D806"/>
    <mergeCell ref="E806:F806"/>
    <mergeCell ref="G806:H806"/>
    <mergeCell ref="I806:J806"/>
    <mergeCell ref="K806:L806"/>
    <mergeCell ref="C807:D807"/>
    <mergeCell ref="E807:F807"/>
    <mergeCell ref="G807:H807"/>
    <mergeCell ref="I807:J807"/>
    <mergeCell ref="K807:L807"/>
    <mergeCell ref="C804:D804"/>
    <mergeCell ref="E804:F804"/>
    <mergeCell ref="G804:H804"/>
    <mergeCell ref="I804:J804"/>
    <mergeCell ref="K804:L804"/>
    <mergeCell ref="C805:D805"/>
    <mergeCell ref="E805:F805"/>
    <mergeCell ref="G805:H805"/>
    <mergeCell ref="I805:J805"/>
    <mergeCell ref="K805:L805"/>
    <mergeCell ref="C802:D802"/>
    <mergeCell ref="E802:F802"/>
    <mergeCell ref="G802:H802"/>
    <mergeCell ref="I802:J802"/>
    <mergeCell ref="K802:L802"/>
    <mergeCell ref="C803:D803"/>
    <mergeCell ref="E803:F803"/>
    <mergeCell ref="G803:H803"/>
    <mergeCell ref="I803:J803"/>
    <mergeCell ref="K803:L803"/>
    <mergeCell ref="C799:D799"/>
    <mergeCell ref="E799:F799"/>
    <mergeCell ref="G799:H799"/>
    <mergeCell ref="I799:J799"/>
    <mergeCell ref="K799:L799"/>
    <mergeCell ref="C800:D800"/>
    <mergeCell ref="E800:F800"/>
    <mergeCell ref="G800:H800"/>
    <mergeCell ref="I800:J800"/>
    <mergeCell ref="K800:L800"/>
    <mergeCell ref="I789:J789"/>
    <mergeCell ref="K789:L789"/>
    <mergeCell ref="C790:D790"/>
    <mergeCell ref="E790:F790"/>
    <mergeCell ref="G790:H790"/>
    <mergeCell ref="I790:J790"/>
    <mergeCell ref="K790:L790"/>
    <mergeCell ref="C797:D797"/>
    <mergeCell ref="E797:F797"/>
    <mergeCell ref="G797:H797"/>
    <mergeCell ref="I797:J797"/>
    <mergeCell ref="K797:L797"/>
    <mergeCell ref="C798:D798"/>
    <mergeCell ref="E798:F798"/>
    <mergeCell ref="G798:H798"/>
    <mergeCell ref="I798:J798"/>
    <mergeCell ref="K798:L798"/>
    <mergeCell ref="K795:L795"/>
    <mergeCell ref="C796:D796"/>
    <mergeCell ref="E796:F796"/>
    <mergeCell ref="G796:H796"/>
    <mergeCell ref="I796:J796"/>
    <mergeCell ref="K796:L796"/>
    <mergeCell ref="C793:D793"/>
    <mergeCell ref="E793:F793"/>
    <mergeCell ref="G793:H793"/>
    <mergeCell ref="I793:J793"/>
    <mergeCell ref="K793:L793"/>
    <mergeCell ref="E788:F788"/>
    <mergeCell ref="G788:H788"/>
    <mergeCell ref="I788:J788"/>
    <mergeCell ref="K788:L788"/>
    <mergeCell ref="C784:D784"/>
    <mergeCell ref="E784:F784"/>
    <mergeCell ref="G784:H784"/>
    <mergeCell ref="I784:J784"/>
    <mergeCell ref="K784:L784"/>
    <mergeCell ref="C785:D785"/>
    <mergeCell ref="E785:F785"/>
    <mergeCell ref="G785:H785"/>
    <mergeCell ref="I785:J785"/>
    <mergeCell ref="K785:L785"/>
    <mergeCell ref="B794:B800"/>
    <mergeCell ref="C795:D795"/>
    <mergeCell ref="E795:F795"/>
    <mergeCell ref="G795:H795"/>
    <mergeCell ref="I795:J795"/>
    <mergeCell ref="C791:D791"/>
    <mergeCell ref="E791:F791"/>
    <mergeCell ref="G791:H791"/>
    <mergeCell ref="I791:J791"/>
    <mergeCell ref="K791:L791"/>
    <mergeCell ref="C792:D792"/>
    <mergeCell ref="E792:F792"/>
    <mergeCell ref="G792:H792"/>
    <mergeCell ref="I792:J792"/>
    <mergeCell ref="K792:L792"/>
    <mergeCell ref="C789:D789"/>
    <mergeCell ref="E789:F789"/>
    <mergeCell ref="G789:H789"/>
    <mergeCell ref="K782:L782"/>
    <mergeCell ref="C783:D783"/>
    <mergeCell ref="E783:F783"/>
    <mergeCell ref="G783:H783"/>
    <mergeCell ref="I783:J783"/>
    <mergeCell ref="K783:L783"/>
    <mergeCell ref="B780:B793"/>
    <mergeCell ref="C781:D781"/>
    <mergeCell ref="E781:F781"/>
    <mergeCell ref="G781:H781"/>
    <mergeCell ref="I781:J781"/>
    <mergeCell ref="K781:L781"/>
    <mergeCell ref="C782:D782"/>
    <mergeCell ref="E782:F782"/>
    <mergeCell ref="G782:H782"/>
    <mergeCell ref="I782:J782"/>
    <mergeCell ref="C778:D778"/>
    <mergeCell ref="E778:F778"/>
    <mergeCell ref="G778:H778"/>
    <mergeCell ref="I778:J778"/>
    <mergeCell ref="K778:L778"/>
    <mergeCell ref="C779:D779"/>
    <mergeCell ref="E779:F779"/>
    <mergeCell ref="G779:H779"/>
    <mergeCell ref="I779:J779"/>
    <mergeCell ref="K779:L779"/>
    <mergeCell ref="C786:D786"/>
    <mergeCell ref="E786:F786"/>
    <mergeCell ref="G786:H786"/>
    <mergeCell ref="I786:J786"/>
    <mergeCell ref="K786:L786"/>
    <mergeCell ref="C788:D788"/>
    <mergeCell ref="G770:H770"/>
    <mergeCell ref="I770:J770"/>
    <mergeCell ref="K770:L770"/>
    <mergeCell ref="C776:D776"/>
    <mergeCell ref="E776:F776"/>
    <mergeCell ref="G776:H776"/>
    <mergeCell ref="I776:J776"/>
    <mergeCell ref="K776:L776"/>
    <mergeCell ref="C777:D777"/>
    <mergeCell ref="E777:F777"/>
    <mergeCell ref="G777:H777"/>
    <mergeCell ref="I777:J777"/>
    <mergeCell ref="K777:L777"/>
    <mergeCell ref="C774:D774"/>
    <mergeCell ref="E774:F774"/>
    <mergeCell ref="G774:H774"/>
    <mergeCell ref="I774:J774"/>
    <mergeCell ref="K774:L774"/>
    <mergeCell ref="C775:D775"/>
    <mergeCell ref="E775:F775"/>
    <mergeCell ref="G775:H775"/>
    <mergeCell ref="I775:J775"/>
    <mergeCell ref="K775:L775"/>
    <mergeCell ref="B766:B772"/>
    <mergeCell ref="C767:D767"/>
    <mergeCell ref="E767:F767"/>
    <mergeCell ref="G767:H767"/>
    <mergeCell ref="I767:J767"/>
    <mergeCell ref="C763:D763"/>
    <mergeCell ref="E763:F763"/>
    <mergeCell ref="G763:H763"/>
    <mergeCell ref="I763:J763"/>
    <mergeCell ref="K763:L763"/>
    <mergeCell ref="C764:D764"/>
    <mergeCell ref="E764:F764"/>
    <mergeCell ref="G764:H764"/>
    <mergeCell ref="I764:J764"/>
    <mergeCell ref="K764:L764"/>
    <mergeCell ref="C771:D771"/>
    <mergeCell ref="E771:F771"/>
    <mergeCell ref="G771:H771"/>
    <mergeCell ref="I771:J771"/>
    <mergeCell ref="K771:L771"/>
    <mergeCell ref="C772:D772"/>
    <mergeCell ref="E772:F772"/>
    <mergeCell ref="G772:H772"/>
    <mergeCell ref="I772:J772"/>
    <mergeCell ref="K772:L772"/>
    <mergeCell ref="C769:D769"/>
    <mergeCell ref="E769:F769"/>
    <mergeCell ref="G769:H769"/>
    <mergeCell ref="I769:J769"/>
    <mergeCell ref="K769:L769"/>
    <mergeCell ref="C770:D770"/>
    <mergeCell ref="E770:F770"/>
    <mergeCell ref="E762:F762"/>
    <mergeCell ref="G762:H762"/>
    <mergeCell ref="I762:J762"/>
    <mergeCell ref="K762:L762"/>
    <mergeCell ref="C758:D758"/>
    <mergeCell ref="E758:F758"/>
    <mergeCell ref="G758:H758"/>
    <mergeCell ref="I758:J758"/>
    <mergeCell ref="K758:L758"/>
    <mergeCell ref="C760:D760"/>
    <mergeCell ref="E760:F760"/>
    <mergeCell ref="G760:H760"/>
    <mergeCell ref="I760:J760"/>
    <mergeCell ref="K760:L760"/>
    <mergeCell ref="K767:L767"/>
    <mergeCell ref="C768:D768"/>
    <mergeCell ref="E768:F768"/>
    <mergeCell ref="G768:H768"/>
    <mergeCell ref="I768:J768"/>
    <mergeCell ref="K768:L768"/>
    <mergeCell ref="C765:D765"/>
    <mergeCell ref="E765:F765"/>
    <mergeCell ref="G765:H765"/>
    <mergeCell ref="I765:J765"/>
    <mergeCell ref="K765:L765"/>
    <mergeCell ref="C756:D756"/>
    <mergeCell ref="E756:F756"/>
    <mergeCell ref="G756:H756"/>
    <mergeCell ref="I756:J756"/>
    <mergeCell ref="K756:L756"/>
    <mergeCell ref="C757:D757"/>
    <mergeCell ref="E757:F757"/>
    <mergeCell ref="G757:H757"/>
    <mergeCell ref="I757:J757"/>
    <mergeCell ref="K757:L757"/>
    <mergeCell ref="K754:L754"/>
    <mergeCell ref="C755:D755"/>
    <mergeCell ref="E755:F755"/>
    <mergeCell ref="G755:H755"/>
    <mergeCell ref="I755:J755"/>
    <mergeCell ref="K755:L755"/>
    <mergeCell ref="B752:B765"/>
    <mergeCell ref="C753:D753"/>
    <mergeCell ref="E753:F753"/>
    <mergeCell ref="G753:H753"/>
    <mergeCell ref="I753:J753"/>
    <mergeCell ref="K753:L753"/>
    <mergeCell ref="C754:D754"/>
    <mergeCell ref="E754:F754"/>
    <mergeCell ref="G754:H754"/>
    <mergeCell ref="I754:J754"/>
    <mergeCell ref="C761:D761"/>
    <mergeCell ref="E761:F761"/>
    <mergeCell ref="G761:H761"/>
    <mergeCell ref="I761:J761"/>
    <mergeCell ref="K761:L761"/>
    <mergeCell ref="C762:D762"/>
    <mergeCell ref="C750:D750"/>
    <mergeCell ref="E750:F750"/>
    <mergeCell ref="G750:H750"/>
    <mergeCell ref="I750:J750"/>
    <mergeCell ref="K750:L750"/>
    <mergeCell ref="C751:D751"/>
    <mergeCell ref="E751:F751"/>
    <mergeCell ref="G751:H751"/>
    <mergeCell ref="I751:J751"/>
    <mergeCell ref="K751:L751"/>
    <mergeCell ref="C748:D748"/>
    <mergeCell ref="E748:F748"/>
    <mergeCell ref="G748:H748"/>
    <mergeCell ref="I748:J748"/>
    <mergeCell ref="K748:L748"/>
    <mergeCell ref="C749:D749"/>
    <mergeCell ref="E749:F749"/>
    <mergeCell ref="G749:H749"/>
    <mergeCell ref="I749:J749"/>
    <mergeCell ref="K749:L749"/>
    <mergeCell ref="C746:D746"/>
    <mergeCell ref="E746:F746"/>
    <mergeCell ref="G746:H746"/>
    <mergeCell ref="I746:J746"/>
    <mergeCell ref="K746:L746"/>
    <mergeCell ref="C747:D747"/>
    <mergeCell ref="E747:F747"/>
    <mergeCell ref="G747:H747"/>
    <mergeCell ref="I747:J747"/>
    <mergeCell ref="K747:L747"/>
    <mergeCell ref="C743:D743"/>
    <mergeCell ref="E743:F743"/>
    <mergeCell ref="G743:H743"/>
    <mergeCell ref="I743:J743"/>
    <mergeCell ref="K743:L743"/>
    <mergeCell ref="C744:D744"/>
    <mergeCell ref="E744:F744"/>
    <mergeCell ref="G744:H744"/>
    <mergeCell ref="I744:J744"/>
    <mergeCell ref="K744:L744"/>
    <mergeCell ref="I733:J733"/>
    <mergeCell ref="K733:L733"/>
    <mergeCell ref="C734:D734"/>
    <mergeCell ref="E734:F734"/>
    <mergeCell ref="G734:H734"/>
    <mergeCell ref="I734:J734"/>
    <mergeCell ref="K734:L734"/>
    <mergeCell ref="C741:D741"/>
    <mergeCell ref="E741:F741"/>
    <mergeCell ref="G741:H741"/>
    <mergeCell ref="I741:J741"/>
    <mergeCell ref="K741:L741"/>
    <mergeCell ref="C742:D742"/>
    <mergeCell ref="E742:F742"/>
    <mergeCell ref="G742:H742"/>
    <mergeCell ref="I742:J742"/>
    <mergeCell ref="K742:L742"/>
    <mergeCell ref="K739:L739"/>
    <mergeCell ref="C740:D740"/>
    <mergeCell ref="E740:F740"/>
    <mergeCell ref="G740:H740"/>
    <mergeCell ref="I740:J740"/>
    <mergeCell ref="K740:L740"/>
    <mergeCell ref="C737:D737"/>
    <mergeCell ref="E737:F737"/>
    <mergeCell ref="G737:H737"/>
    <mergeCell ref="I737:J737"/>
    <mergeCell ref="K737:L737"/>
    <mergeCell ref="E732:F732"/>
    <mergeCell ref="G732:H732"/>
    <mergeCell ref="I732:J732"/>
    <mergeCell ref="K732:L732"/>
    <mergeCell ref="C728:D728"/>
    <mergeCell ref="E728:F728"/>
    <mergeCell ref="G728:H728"/>
    <mergeCell ref="I728:J728"/>
    <mergeCell ref="K728:L728"/>
    <mergeCell ref="C729:D729"/>
    <mergeCell ref="E729:F729"/>
    <mergeCell ref="G729:H729"/>
    <mergeCell ref="I729:J729"/>
    <mergeCell ref="K729:L729"/>
    <mergeCell ref="B738:B744"/>
    <mergeCell ref="C739:D739"/>
    <mergeCell ref="E739:F739"/>
    <mergeCell ref="G739:H739"/>
    <mergeCell ref="I739:J739"/>
    <mergeCell ref="C735:D735"/>
    <mergeCell ref="E735:F735"/>
    <mergeCell ref="G735:H735"/>
    <mergeCell ref="I735:J735"/>
    <mergeCell ref="K735:L735"/>
    <mergeCell ref="C736:D736"/>
    <mergeCell ref="E736:F736"/>
    <mergeCell ref="G736:H736"/>
    <mergeCell ref="I736:J736"/>
    <mergeCell ref="K736:L736"/>
    <mergeCell ref="C733:D733"/>
    <mergeCell ref="E733:F733"/>
    <mergeCell ref="G733:H733"/>
    <mergeCell ref="K726:L726"/>
    <mergeCell ref="C727:D727"/>
    <mergeCell ref="E727:F727"/>
    <mergeCell ref="G727:H727"/>
    <mergeCell ref="I727:J727"/>
    <mergeCell ref="K727:L727"/>
    <mergeCell ref="B724:B737"/>
    <mergeCell ref="C725:D725"/>
    <mergeCell ref="E725:F725"/>
    <mergeCell ref="G725:H725"/>
    <mergeCell ref="I725:J725"/>
    <mergeCell ref="K725:L725"/>
    <mergeCell ref="C726:D726"/>
    <mergeCell ref="E726:F726"/>
    <mergeCell ref="G726:H726"/>
    <mergeCell ref="I726:J726"/>
    <mergeCell ref="C722:D722"/>
    <mergeCell ref="E722:F722"/>
    <mergeCell ref="G722:H722"/>
    <mergeCell ref="I722:J722"/>
    <mergeCell ref="K722:L722"/>
    <mergeCell ref="C723:D723"/>
    <mergeCell ref="E723:F723"/>
    <mergeCell ref="G723:H723"/>
    <mergeCell ref="I723:J723"/>
    <mergeCell ref="K723:L723"/>
    <mergeCell ref="C730:D730"/>
    <mergeCell ref="E730:F730"/>
    <mergeCell ref="G730:H730"/>
    <mergeCell ref="I730:J730"/>
    <mergeCell ref="K730:L730"/>
    <mergeCell ref="C732:D732"/>
    <mergeCell ref="C720:D720"/>
    <mergeCell ref="E720:F720"/>
    <mergeCell ref="G720:H720"/>
    <mergeCell ref="I720:J720"/>
    <mergeCell ref="K720:L720"/>
    <mergeCell ref="C721:D721"/>
    <mergeCell ref="E721:F721"/>
    <mergeCell ref="G721:H721"/>
    <mergeCell ref="I721:J721"/>
    <mergeCell ref="K721:L721"/>
    <mergeCell ref="C718:D718"/>
    <mergeCell ref="E718:F718"/>
    <mergeCell ref="G718:H718"/>
    <mergeCell ref="I718:J718"/>
    <mergeCell ref="K718:L718"/>
    <mergeCell ref="C719:D719"/>
    <mergeCell ref="E719:F719"/>
    <mergeCell ref="G719:H719"/>
    <mergeCell ref="I719:J719"/>
    <mergeCell ref="K719:L719"/>
    <mergeCell ref="C715:D715"/>
    <mergeCell ref="E715:F715"/>
    <mergeCell ref="G715:H715"/>
    <mergeCell ref="I715:J715"/>
    <mergeCell ref="K715:L715"/>
    <mergeCell ref="C716:D716"/>
    <mergeCell ref="E716:F716"/>
    <mergeCell ref="G716:H716"/>
    <mergeCell ref="I716:J716"/>
    <mergeCell ref="K716:L716"/>
    <mergeCell ref="C713:D713"/>
    <mergeCell ref="E713:F713"/>
    <mergeCell ref="G713:H713"/>
    <mergeCell ref="I713:J713"/>
    <mergeCell ref="K713:L713"/>
    <mergeCell ref="C714:D714"/>
    <mergeCell ref="E714:F714"/>
    <mergeCell ref="G714:H714"/>
    <mergeCell ref="I714:J714"/>
    <mergeCell ref="K714:L714"/>
    <mergeCell ref="C711:D711"/>
    <mergeCell ref="E711:F711"/>
    <mergeCell ref="G711:H711"/>
    <mergeCell ref="I711:J711"/>
    <mergeCell ref="K711:L711"/>
    <mergeCell ref="C712:D712"/>
    <mergeCell ref="E712:F712"/>
    <mergeCell ref="G712:H712"/>
    <mergeCell ref="I712:J712"/>
    <mergeCell ref="K712:L712"/>
    <mergeCell ref="C708:D708"/>
    <mergeCell ref="E708:F708"/>
    <mergeCell ref="G708:H708"/>
    <mergeCell ref="I708:J708"/>
    <mergeCell ref="K708:L708"/>
    <mergeCell ref="C709:D709"/>
    <mergeCell ref="E709:F709"/>
    <mergeCell ref="G709:H709"/>
    <mergeCell ref="I709:J709"/>
    <mergeCell ref="K709:L709"/>
    <mergeCell ref="I698:J698"/>
    <mergeCell ref="K698:L698"/>
    <mergeCell ref="C699:D699"/>
    <mergeCell ref="E699:F699"/>
    <mergeCell ref="G699:H699"/>
    <mergeCell ref="I699:J699"/>
    <mergeCell ref="K699:L699"/>
    <mergeCell ref="C706:D706"/>
    <mergeCell ref="E706:F706"/>
    <mergeCell ref="G706:H706"/>
    <mergeCell ref="I706:J706"/>
    <mergeCell ref="K706:L706"/>
    <mergeCell ref="C707:D707"/>
    <mergeCell ref="E707:F707"/>
    <mergeCell ref="G707:H707"/>
    <mergeCell ref="I707:J707"/>
    <mergeCell ref="K707:L707"/>
    <mergeCell ref="K704:L704"/>
    <mergeCell ref="C705:D705"/>
    <mergeCell ref="E705:F705"/>
    <mergeCell ref="G705:H705"/>
    <mergeCell ref="I705:J705"/>
    <mergeCell ref="K705:L705"/>
    <mergeCell ref="C702:D702"/>
    <mergeCell ref="E702:F702"/>
    <mergeCell ref="G702:H702"/>
    <mergeCell ref="I702:J702"/>
    <mergeCell ref="K702:L702"/>
    <mergeCell ref="E697:F697"/>
    <mergeCell ref="G697:H697"/>
    <mergeCell ref="I697:J697"/>
    <mergeCell ref="K697:L697"/>
    <mergeCell ref="C693:D693"/>
    <mergeCell ref="E693:F693"/>
    <mergeCell ref="G693:H693"/>
    <mergeCell ref="I693:J693"/>
    <mergeCell ref="K693:L693"/>
    <mergeCell ref="C694:D694"/>
    <mergeCell ref="E694:F694"/>
    <mergeCell ref="G694:H694"/>
    <mergeCell ref="I694:J694"/>
    <mergeCell ref="K694:L694"/>
    <mergeCell ref="B703:B709"/>
    <mergeCell ref="C704:D704"/>
    <mergeCell ref="E704:F704"/>
    <mergeCell ref="G704:H704"/>
    <mergeCell ref="I704:J704"/>
    <mergeCell ref="C700:D700"/>
    <mergeCell ref="E700:F700"/>
    <mergeCell ref="G700:H700"/>
    <mergeCell ref="I700:J700"/>
    <mergeCell ref="K700:L700"/>
    <mergeCell ref="C701:D701"/>
    <mergeCell ref="E701:F701"/>
    <mergeCell ref="G701:H701"/>
    <mergeCell ref="I701:J701"/>
    <mergeCell ref="K701:L701"/>
    <mergeCell ref="C698:D698"/>
    <mergeCell ref="E698:F698"/>
    <mergeCell ref="G698:H698"/>
    <mergeCell ref="K691:L691"/>
    <mergeCell ref="C692:D692"/>
    <mergeCell ref="E692:F692"/>
    <mergeCell ref="G692:H692"/>
    <mergeCell ref="I692:J692"/>
    <mergeCell ref="K692:L692"/>
    <mergeCell ref="B689:B702"/>
    <mergeCell ref="C690:D690"/>
    <mergeCell ref="E690:F690"/>
    <mergeCell ref="G690:H690"/>
    <mergeCell ref="I690:J690"/>
    <mergeCell ref="K690:L690"/>
    <mergeCell ref="C691:D691"/>
    <mergeCell ref="E691:F691"/>
    <mergeCell ref="G691:H691"/>
    <mergeCell ref="I691:J691"/>
    <mergeCell ref="C687:D687"/>
    <mergeCell ref="E687:F687"/>
    <mergeCell ref="G687:H687"/>
    <mergeCell ref="I687:J687"/>
    <mergeCell ref="K687:L687"/>
    <mergeCell ref="C688:D688"/>
    <mergeCell ref="E688:F688"/>
    <mergeCell ref="G688:H688"/>
    <mergeCell ref="I688:J688"/>
    <mergeCell ref="K688:L688"/>
    <mergeCell ref="C695:D695"/>
    <mergeCell ref="E695:F695"/>
    <mergeCell ref="G695:H695"/>
    <mergeCell ref="I695:J695"/>
    <mergeCell ref="K695:L695"/>
    <mergeCell ref="C697:D697"/>
    <mergeCell ref="C685:D685"/>
    <mergeCell ref="E685:F685"/>
    <mergeCell ref="G685:H685"/>
    <mergeCell ref="I685:J685"/>
    <mergeCell ref="K685:L685"/>
    <mergeCell ref="C686:D686"/>
    <mergeCell ref="E686:F686"/>
    <mergeCell ref="G686:H686"/>
    <mergeCell ref="I686:J686"/>
    <mergeCell ref="K686:L686"/>
    <mergeCell ref="C683:D683"/>
    <mergeCell ref="E683:F683"/>
    <mergeCell ref="G683:H683"/>
    <mergeCell ref="I683:J683"/>
    <mergeCell ref="K683:L683"/>
    <mergeCell ref="C684:D684"/>
    <mergeCell ref="E684:F684"/>
    <mergeCell ref="G684:H684"/>
    <mergeCell ref="I684:J684"/>
    <mergeCell ref="K684:L684"/>
    <mergeCell ref="G674:H674"/>
    <mergeCell ref="I674:J674"/>
    <mergeCell ref="K674:L674"/>
    <mergeCell ref="C680:D680"/>
    <mergeCell ref="E680:F680"/>
    <mergeCell ref="G680:H680"/>
    <mergeCell ref="I680:J680"/>
    <mergeCell ref="K680:L680"/>
    <mergeCell ref="C681:D681"/>
    <mergeCell ref="E681:F681"/>
    <mergeCell ref="G681:H681"/>
    <mergeCell ref="I681:J681"/>
    <mergeCell ref="K681:L681"/>
    <mergeCell ref="C678:D678"/>
    <mergeCell ref="E678:F678"/>
    <mergeCell ref="G678:H678"/>
    <mergeCell ref="I678:J678"/>
    <mergeCell ref="K678:L678"/>
    <mergeCell ref="C679:D679"/>
    <mergeCell ref="E679:F679"/>
    <mergeCell ref="G679:H679"/>
    <mergeCell ref="I679:J679"/>
    <mergeCell ref="K679:L679"/>
    <mergeCell ref="G677:H677"/>
    <mergeCell ref="C672:D672"/>
    <mergeCell ref="E672:F672"/>
    <mergeCell ref="G672:H672"/>
    <mergeCell ref="I672:J672"/>
    <mergeCell ref="K672:L672"/>
    <mergeCell ref="C669:D669"/>
    <mergeCell ref="E669:F669"/>
    <mergeCell ref="G669:H669"/>
    <mergeCell ref="I669:J669"/>
    <mergeCell ref="K669:L669"/>
    <mergeCell ref="C670:D670"/>
    <mergeCell ref="E670:F670"/>
    <mergeCell ref="G670:H670"/>
    <mergeCell ref="I670:J670"/>
    <mergeCell ref="K670:L670"/>
    <mergeCell ref="B675:B681"/>
    <mergeCell ref="C676:D676"/>
    <mergeCell ref="E676:F676"/>
    <mergeCell ref="G676:H676"/>
    <mergeCell ref="I676:J676"/>
    <mergeCell ref="K676:L676"/>
    <mergeCell ref="C677:D677"/>
    <mergeCell ref="E677:F677"/>
    <mergeCell ref="I677:J677"/>
    <mergeCell ref="K677:L677"/>
    <mergeCell ref="C673:D673"/>
    <mergeCell ref="E673:F673"/>
    <mergeCell ref="G673:H673"/>
    <mergeCell ref="I673:J673"/>
    <mergeCell ref="K673:L673"/>
    <mergeCell ref="C674:D674"/>
    <mergeCell ref="E674:F674"/>
    <mergeCell ref="E667:F667"/>
    <mergeCell ref="G667:H667"/>
    <mergeCell ref="I667:J667"/>
    <mergeCell ref="K667:L667"/>
    <mergeCell ref="C664:D664"/>
    <mergeCell ref="E664:F664"/>
    <mergeCell ref="G664:H664"/>
    <mergeCell ref="I664:J664"/>
    <mergeCell ref="K664:L664"/>
    <mergeCell ref="C665:D665"/>
    <mergeCell ref="E665:F665"/>
    <mergeCell ref="G665:H665"/>
    <mergeCell ref="I665:J665"/>
    <mergeCell ref="K665:L665"/>
    <mergeCell ref="C671:D671"/>
    <mergeCell ref="E671:F671"/>
    <mergeCell ref="G671:H671"/>
    <mergeCell ref="I671:J671"/>
    <mergeCell ref="K671:L671"/>
    <mergeCell ref="K662:L662"/>
    <mergeCell ref="C663:D663"/>
    <mergeCell ref="E663:F663"/>
    <mergeCell ref="G663:H663"/>
    <mergeCell ref="I663:J663"/>
    <mergeCell ref="K663:L663"/>
    <mergeCell ref="C660:D660"/>
    <mergeCell ref="E660:F660"/>
    <mergeCell ref="G660:H660"/>
    <mergeCell ref="I660:J660"/>
    <mergeCell ref="K660:L660"/>
    <mergeCell ref="B661:B674"/>
    <mergeCell ref="C662:D662"/>
    <mergeCell ref="E662:F662"/>
    <mergeCell ref="G662:H662"/>
    <mergeCell ref="I662:J662"/>
    <mergeCell ref="C658:D658"/>
    <mergeCell ref="E658:F658"/>
    <mergeCell ref="G658:H658"/>
    <mergeCell ref="I658:J658"/>
    <mergeCell ref="K658:L658"/>
    <mergeCell ref="C659:D659"/>
    <mergeCell ref="E659:F659"/>
    <mergeCell ref="G659:H659"/>
    <mergeCell ref="I659:J659"/>
    <mergeCell ref="K659:L659"/>
    <mergeCell ref="C666:D666"/>
    <mergeCell ref="E666:F666"/>
    <mergeCell ref="G666:H666"/>
    <mergeCell ref="I666:J666"/>
    <mergeCell ref="K666:L666"/>
    <mergeCell ref="C667:D667"/>
    <mergeCell ref="C656:D656"/>
    <mergeCell ref="E656:F656"/>
    <mergeCell ref="G656:H656"/>
    <mergeCell ref="I656:J656"/>
    <mergeCell ref="K656:L656"/>
    <mergeCell ref="C657:D657"/>
    <mergeCell ref="E657:F657"/>
    <mergeCell ref="G657:H657"/>
    <mergeCell ref="I657:J657"/>
    <mergeCell ref="K657:L657"/>
    <mergeCell ref="C653:D653"/>
    <mergeCell ref="E653:F653"/>
    <mergeCell ref="G653:H653"/>
    <mergeCell ref="I653:J653"/>
    <mergeCell ref="K653:L653"/>
    <mergeCell ref="C655:D655"/>
    <mergeCell ref="E655:F655"/>
    <mergeCell ref="G655:H655"/>
    <mergeCell ref="I655:J655"/>
    <mergeCell ref="K655:L655"/>
    <mergeCell ref="C652:D652"/>
    <mergeCell ref="E652:F652"/>
    <mergeCell ref="G652:H652"/>
    <mergeCell ref="I652:J652"/>
    <mergeCell ref="K652:L652"/>
    <mergeCell ref="K649:L649"/>
    <mergeCell ref="C650:D650"/>
    <mergeCell ref="E650:F650"/>
    <mergeCell ref="G650:H650"/>
    <mergeCell ref="I650:J650"/>
    <mergeCell ref="K650:L650"/>
    <mergeCell ref="B647:B653"/>
    <mergeCell ref="C648:D648"/>
    <mergeCell ref="E648:F648"/>
    <mergeCell ref="G648:H648"/>
    <mergeCell ref="I648:J648"/>
    <mergeCell ref="K648:L648"/>
    <mergeCell ref="C649:D649"/>
    <mergeCell ref="E649:F649"/>
    <mergeCell ref="G649:H649"/>
    <mergeCell ref="I649:J649"/>
    <mergeCell ref="C646:D646"/>
    <mergeCell ref="E646:F646"/>
    <mergeCell ref="G646:H646"/>
    <mergeCell ref="I646:J646"/>
    <mergeCell ref="K646:L646"/>
    <mergeCell ref="C643:D643"/>
    <mergeCell ref="E643:F643"/>
    <mergeCell ref="G643:H643"/>
    <mergeCell ref="I643:J643"/>
    <mergeCell ref="K643:L643"/>
    <mergeCell ref="C644:D644"/>
    <mergeCell ref="E644:F644"/>
    <mergeCell ref="G644:H644"/>
    <mergeCell ref="I644:J644"/>
    <mergeCell ref="K644:L644"/>
    <mergeCell ref="C651:D651"/>
    <mergeCell ref="E651:F651"/>
    <mergeCell ref="G651:H651"/>
    <mergeCell ref="I651:J651"/>
    <mergeCell ref="K651:L651"/>
    <mergeCell ref="C642:D642"/>
    <mergeCell ref="E642:F642"/>
    <mergeCell ref="G642:H642"/>
    <mergeCell ref="I642:J642"/>
    <mergeCell ref="K642:L642"/>
    <mergeCell ref="C638:D638"/>
    <mergeCell ref="E638:F638"/>
    <mergeCell ref="G638:H638"/>
    <mergeCell ref="I638:J638"/>
    <mergeCell ref="K638:L638"/>
    <mergeCell ref="C639:D639"/>
    <mergeCell ref="E639:F639"/>
    <mergeCell ref="G639:H639"/>
    <mergeCell ref="I639:J639"/>
    <mergeCell ref="K639:L639"/>
    <mergeCell ref="C645:D645"/>
    <mergeCell ref="E645:F645"/>
    <mergeCell ref="G645:H645"/>
    <mergeCell ref="I645:J645"/>
    <mergeCell ref="K645:L645"/>
    <mergeCell ref="C637:D637"/>
    <mergeCell ref="E637:F637"/>
    <mergeCell ref="G637:H637"/>
    <mergeCell ref="I637:J637"/>
    <mergeCell ref="K637:L637"/>
    <mergeCell ref="K634:L634"/>
    <mergeCell ref="C635:D635"/>
    <mergeCell ref="E635:F635"/>
    <mergeCell ref="G635:H635"/>
    <mergeCell ref="I635:J635"/>
    <mergeCell ref="K635:L635"/>
    <mergeCell ref="C632:D632"/>
    <mergeCell ref="E632:F632"/>
    <mergeCell ref="G632:H632"/>
    <mergeCell ref="I632:J632"/>
    <mergeCell ref="K632:L632"/>
    <mergeCell ref="C641:D641"/>
    <mergeCell ref="E641:F641"/>
    <mergeCell ref="G641:H641"/>
    <mergeCell ref="I641:J641"/>
    <mergeCell ref="K641:L641"/>
    <mergeCell ref="G629:H629"/>
    <mergeCell ref="I629:J629"/>
    <mergeCell ref="K629:L629"/>
    <mergeCell ref="B626:B632"/>
    <mergeCell ref="C627:D627"/>
    <mergeCell ref="E627:F627"/>
    <mergeCell ref="G627:H627"/>
    <mergeCell ref="I627:J627"/>
    <mergeCell ref="K627:L627"/>
    <mergeCell ref="C628:D628"/>
    <mergeCell ref="E628:F628"/>
    <mergeCell ref="G628:H628"/>
    <mergeCell ref="I628:J628"/>
    <mergeCell ref="C636:D636"/>
    <mergeCell ref="E636:F636"/>
    <mergeCell ref="G636:H636"/>
    <mergeCell ref="I636:J636"/>
    <mergeCell ref="K636:L636"/>
    <mergeCell ref="E625:F625"/>
    <mergeCell ref="G625:H625"/>
    <mergeCell ref="I625:J625"/>
    <mergeCell ref="K625:L625"/>
    <mergeCell ref="C622:D622"/>
    <mergeCell ref="E622:F622"/>
    <mergeCell ref="G622:H622"/>
    <mergeCell ref="I622:J622"/>
    <mergeCell ref="K622:L622"/>
    <mergeCell ref="C623:D623"/>
    <mergeCell ref="E623:F623"/>
    <mergeCell ref="G623:H623"/>
    <mergeCell ref="I623:J623"/>
    <mergeCell ref="K623:L623"/>
    <mergeCell ref="B633:B646"/>
    <mergeCell ref="C634:D634"/>
    <mergeCell ref="E634:F634"/>
    <mergeCell ref="G634:H634"/>
    <mergeCell ref="I634:J634"/>
    <mergeCell ref="C630:D630"/>
    <mergeCell ref="E630:F630"/>
    <mergeCell ref="G630:H630"/>
    <mergeCell ref="I630:J630"/>
    <mergeCell ref="K630:L630"/>
    <mergeCell ref="C631:D631"/>
    <mergeCell ref="E631:F631"/>
    <mergeCell ref="G631:H631"/>
    <mergeCell ref="I631:J631"/>
    <mergeCell ref="K631:L631"/>
    <mergeCell ref="K628:L628"/>
    <mergeCell ref="C629:D629"/>
    <mergeCell ref="E629:F629"/>
    <mergeCell ref="K620:L620"/>
    <mergeCell ref="C621:D621"/>
    <mergeCell ref="E621:F621"/>
    <mergeCell ref="G621:H621"/>
    <mergeCell ref="I621:J621"/>
    <mergeCell ref="K621:L621"/>
    <mergeCell ref="C618:D618"/>
    <mergeCell ref="E618:F618"/>
    <mergeCell ref="G618:H618"/>
    <mergeCell ref="I618:J618"/>
    <mergeCell ref="K618:L618"/>
    <mergeCell ref="B619:B625"/>
    <mergeCell ref="C620:D620"/>
    <mergeCell ref="E620:F620"/>
    <mergeCell ref="G620:H620"/>
    <mergeCell ref="I620:J620"/>
    <mergeCell ref="C616:D616"/>
    <mergeCell ref="E616:F616"/>
    <mergeCell ref="G616:H616"/>
    <mergeCell ref="I616:J616"/>
    <mergeCell ref="K616:L616"/>
    <mergeCell ref="C617:D617"/>
    <mergeCell ref="E617:F617"/>
    <mergeCell ref="G617:H617"/>
    <mergeCell ref="I617:J617"/>
    <mergeCell ref="K617:L617"/>
    <mergeCell ref="C624:D624"/>
    <mergeCell ref="E624:F624"/>
    <mergeCell ref="G624:H624"/>
    <mergeCell ref="I624:J624"/>
    <mergeCell ref="K624:L624"/>
    <mergeCell ref="C625:D625"/>
    <mergeCell ref="B612:B618"/>
    <mergeCell ref="C613:D613"/>
    <mergeCell ref="E613:F613"/>
    <mergeCell ref="G613:H613"/>
    <mergeCell ref="I613:J613"/>
    <mergeCell ref="K613:L613"/>
    <mergeCell ref="C614:D614"/>
    <mergeCell ref="E614:F614"/>
    <mergeCell ref="G614:H614"/>
    <mergeCell ref="I614:J614"/>
    <mergeCell ref="C610:D610"/>
    <mergeCell ref="E610:F610"/>
    <mergeCell ref="G610:H610"/>
    <mergeCell ref="I610:J610"/>
    <mergeCell ref="K610:L610"/>
    <mergeCell ref="C611:D611"/>
    <mergeCell ref="E611:F611"/>
    <mergeCell ref="G611:H611"/>
    <mergeCell ref="I611:J611"/>
    <mergeCell ref="K611:L611"/>
    <mergeCell ref="C609:D609"/>
    <mergeCell ref="E609:F609"/>
    <mergeCell ref="G609:H609"/>
    <mergeCell ref="I609:J609"/>
    <mergeCell ref="K609:L609"/>
    <mergeCell ref="C606:D606"/>
    <mergeCell ref="E606:F606"/>
    <mergeCell ref="G606:H606"/>
    <mergeCell ref="I606:J606"/>
    <mergeCell ref="K606:L606"/>
    <mergeCell ref="C607:D607"/>
    <mergeCell ref="E607:F607"/>
    <mergeCell ref="G607:H607"/>
    <mergeCell ref="I607:J607"/>
    <mergeCell ref="K607:L607"/>
    <mergeCell ref="K614:L614"/>
    <mergeCell ref="C615:D615"/>
    <mergeCell ref="E615:F615"/>
    <mergeCell ref="G615:H615"/>
    <mergeCell ref="I615:J615"/>
    <mergeCell ref="K615:L615"/>
    <mergeCell ref="E604:F604"/>
    <mergeCell ref="G604:H604"/>
    <mergeCell ref="I604:J604"/>
    <mergeCell ref="K604:L604"/>
    <mergeCell ref="C601:D601"/>
    <mergeCell ref="E601:F601"/>
    <mergeCell ref="G601:H601"/>
    <mergeCell ref="I601:J601"/>
    <mergeCell ref="K601:L601"/>
    <mergeCell ref="C602:D602"/>
    <mergeCell ref="E602:F602"/>
    <mergeCell ref="G602:H602"/>
    <mergeCell ref="I602:J602"/>
    <mergeCell ref="K602:L602"/>
    <mergeCell ref="C608:D608"/>
    <mergeCell ref="E608:F608"/>
    <mergeCell ref="G608:H608"/>
    <mergeCell ref="I608:J608"/>
    <mergeCell ref="K608:L608"/>
    <mergeCell ref="K599:L599"/>
    <mergeCell ref="C600:D600"/>
    <mergeCell ref="E600:F600"/>
    <mergeCell ref="G600:H600"/>
    <mergeCell ref="I600:J600"/>
    <mergeCell ref="K600:L600"/>
    <mergeCell ref="C597:D597"/>
    <mergeCell ref="E597:F597"/>
    <mergeCell ref="G597:H597"/>
    <mergeCell ref="I597:J597"/>
    <mergeCell ref="K597:L597"/>
    <mergeCell ref="B598:B611"/>
    <mergeCell ref="C599:D599"/>
    <mergeCell ref="E599:F599"/>
    <mergeCell ref="G599:H599"/>
    <mergeCell ref="I599:J599"/>
    <mergeCell ref="C595:D595"/>
    <mergeCell ref="E595:F595"/>
    <mergeCell ref="G595:H595"/>
    <mergeCell ref="I595:J595"/>
    <mergeCell ref="K595:L595"/>
    <mergeCell ref="C596:D596"/>
    <mergeCell ref="E596:F596"/>
    <mergeCell ref="G596:H596"/>
    <mergeCell ref="I596:J596"/>
    <mergeCell ref="K596:L596"/>
    <mergeCell ref="C603:D603"/>
    <mergeCell ref="E603:F603"/>
    <mergeCell ref="G603:H603"/>
    <mergeCell ref="I603:J603"/>
    <mergeCell ref="K603:L603"/>
    <mergeCell ref="C604:D604"/>
    <mergeCell ref="K593:L593"/>
    <mergeCell ref="C594:D594"/>
    <mergeCell ref="E594:F594"/>
    <mergeCell ref="G594:H594"/>
    <mergeCell ref="I594:J594"/>
    <mergeCell ref="K594:L594"/>
    <mergeCell ref="B591:B597"/>
    <mergeCell ref="C592:D592"/>
    <mergeCell ref="E592:F592"/>
    <mergeCell ref="G592:H592"/>
    <mergeCell ref="I592:J592"/>
    <mergeCell ref="K592:L592"/>
    <mergeCell ref="C593:D593"/>
    <mergeCell ref="E593:F593"/>
    <mergeCell ref="G593:H593"/>
    <mergeCell ref="I593:J593"/>
    <mergeCell ref="C589:D589"/>
    <mergeCell ref="E589:F589"/>
    <mergeCell ref="G589:H589"/>
    <mergeCell ref="I589:J589"/>
    <mergeCell ref="K589:L589"/>
    <mergeCell ref="C590:D590"/>
    <mergeCell ref="E590:F590"/>
    <mergeCell ref="G590:H590"/>
    <mergeCell ref="I590:J590"/>
    <mergeCell ref="K590:L590"/>
    <mergeCell ref="B584:B590"/>
    <mergeCell ref="C588:D588"/>
    <mergeCell ref="E588:F588"/>
    <mergeCell ref="G588:H588"/>
    <mergeCell ref="I588:J588"/>
    <mergeCell ref="K588:L588"/>
    <mergeCell ref="C587:D587"/>
    <mergeCell ref="E587:F587"/>
    <mergeCell ref="G587:H587"/>
    <mergeCell ref="I587:J587"/>
    <mergeCell ref="K587:L587"/>
    <mergeCell ref="C578:D578"/>
    <mergeCell ref="E578:F578"/>
    <mergeCell ref="G578:H578"/>
    <mergeCell ref="I578:J578"/>
    <mergeCell ref="K578:L578"/>
    <mergeCell ref="K585:L585"/>
    <mergeCell ref="C586:D586"/>
    <mergeCell ref="E586:F586"/>
    <mergeCell ref="G586:H586"/>
    <mergeCell ref="I586:J586"/>
    <mergeCell ref="K586:L586"/>
    <mergeCell ref="C583:D583"/>
    <mergeCell ref="E583:F583"/>
    <mergeCell ref="G583:H583"/>
    <mergeCell ref="I583:J583"/>
    <mergeCell ref="K583:L583"/>
    <mergeCell ref="C585:D585"/>
    <mergeCell ref="E585:F585"/>
    <mergeCell ref="G585:H585"/>
    <mergeCell ref="I585:J585"/>
    <mergeCell ref="C582:D582"/>
    <mergeCell ref="E582:F582"/>
    <mergeCell ref="G582:H582"/>
    <mergeCell ref="I582:J582"/>
    <mergeCell ref="K582:L582"/>
    <mergeCell ref="C574:D574"/>
    <mergeCell ref="E574:F574"/>
    <mergeCell ref="G574:H574"/>
    <mergeCell ref="I574:J574"/>
    <mergeCell ref="K574:L574"/>
    <mergeCell ref="C575:D575"/>
    <mergeCell ref="E575:F575"/>
    <mergeCell ref="G575:H575"/>
    <mergeCell ref="I575:J575"/>
    <mergeCell ref="K575:L575"/>
    <mergeCell ref="C581:D581"/>
    <mergeCell ref="E581:F581"/>
    <mergeCell ref="G581:H581"/>
    <mergeCell ref="I581:J581"/>
    <mergeCell ref="K581:L581"/>
    <mergeCell ref="K572:L572"/>
    <mergeCell ref="C573:D573"/>
    <mergeCell ref="E573:F573"/>
    <mergeCell ref="G573:H573"/>
    <mergeCell ref="I573:J573"/>
    <mergeCell ref="K573:L573"/>
    <mergeCell ref="C579:D579"/>
    <mergeCell ref="E579:F579"/>
    <mergeCell ref="G579:H579"/>
    <mergeCell ref="I579:J579"/>
    <mergeCell ref="K579:L579"/>
    <mergeCell ref="C580:D580"/>
    <mergeCell ref="E580:F580"/>
    <mergeCell ref="G580:H580"/>
    <mergeCell ref="I580:J580"/>
    <mergeCell ref="K580:L580"/>
    <mergeCell ref="B570:B583"/>
    <mergeCell ref="C571:D571"/>
    <mergeCell ref="E571:F571"/>
    <mergeCell ref="G571:H571"/>
    <mergeCell ref="I571:J571"/>
    <mergeCell ref="K571:L571"/>
    <mergeCell ref="C572:D572"/>
    <mergeCell ref="E572:F572"/>
    <mergeCell ref="G572:H572"/>
    <mergeCell ref="I572:J572"/>
    <mergeCell ref="C568:D568"/>
    <mergeCell ref="E568:F568"/>
    <mergeCell ref="G568:H568"/>
    <mergeCell ref="I568:J568"/>
    <mergeCell ref="K568:L568"/>
    <mergeCell ref="C569:D569"/>
    <mergeCell ref="E569:F569"/>
    <mergeCell ref="G569:H569"/>
    <mergeCell ref="I569:J569"/>
    <mergeCell ref="K569:L569"/>
    <mergeCell ref="B563:B569"/>
    <mergeCell ref="C576:D576"/>
    <mergeCell ref="E576:F576"/>
    <mergeCell ref="G576:H576"/>
    <mergeCell ref="I576:J576"/>
    <mergeCell ref="K576:L576"/>
    <mergeCell ref="C566:D566"/>
    <mergeCell ref="E566:F566"/>
    <mergeCell ref="G566:H566"/>
    <mergeCell ref="I566:J566"/>
    <mergeCell ref="K566:L566"/>
    <mergeCell ref="C567:D567"/>
    <mergeCell ref="E567:F567"/>
    <mergeCell ref="G567:H567"/>
    <mergeCell ref="I567:J567"/>
    <mergeCell ref="K567:L567"/>
    <mergeCell ref="K564:L564"/>
    <mergeCell ref="C565:D565"/>
    <mergeCell ref="E565:F565"/>
    <mergeCell ref="G565:H565"/>
    <mergeCell ref="I565:J565"/>
    <mergeCell ref="K565:L565"/>
    <mergeCell ref="C562:D562"/>
    <mergeCell ref="E562:F562"/>
    <mergeCell ref="G562:H562"/>
    <mergeCell ref="I562:J562"/>
    <mergeCell ref="K562:L562"/>
    <mergeCell ref="C564:D564"/>
    <mergeCell ref="E564:F564"/>
    <mergeCell ref="G564:H564"/>
    <mergeCell ref="I564:J564"/>
    <mergeCell ref="C561:D561"/>
    <mergeCell ref="E561:F561"/>
    <mergeCell ref="G561:H561"/>
    <mergeCell ref="I561:J561"/>
    <mergeCell ref="K561:L561"/>
    <mergeCell ref="K558:L558"/>
    <mergeCell ref="C559:D559"/>
    <mergeCell ref="E559:F559"/>
    <mergeCell ref="G559:H559"/>
    <mergeCell ref="I559:J559"/>
    <mergeCell ref="K559:L559"/>
    <mergeCell ref="B556:B562"/>
    <mergeCell ref="C557:D557"/>
    <mergeCell ref="E557:F557"/>
    <mergeCell ref="G557:H557"/>
    <mergeCell ref="I557:J557"/>
    <mergeCell ref="K557:L557"/>
    <mergeCell ref="C558:D558"/>
    <mergeCell ref="E558:F558"/>
    <mergeCell ref="G558:H558"/>
    <mergeCell ref="I558:J558"/>
    <mergeCell ref="C555:D555"/>
    <mergeCell ref="E555:F555"/>
    <mergeCell ref="G555:H555"/>
    <mergeCell ref="I555:J555"/>
    <mergeCell ref="K555:L555"/>
    <mergeCell ref="C552:D552"/>
    <mergeCell ref="E552:F552"/>
    <mergeCell ref="G552:H552"/>
    <mergeCell ref="I552:J552"/>
    <mergeCell ref="K552:L552"/>
    <mergeCell ref="C553:D553"/>
    <mergeCell ref="E553:F553"/>
    <mergeCell ref="G553:H553"/>
    <mergeCell ref="I553:J553"/>
    <mergeCell ref="K553:L553"/>
    <mergeCell ref="C560:D560"/>
    <mergeCell ref="E560:F560"/>
    <mergeCell ref="G560:H560"/>
    <mergeCell ref="I560:J560"/>
    <mergeCell ref="K560:L560"/>
    <mergeCell ref="C551:D551"/>
    <mergeCell ref="E551:F551"/>
    <mergeCell ref="G551:H551"/>
    <mergeCell ref="I551:J551"/>
    <mergeCell ref="K551:L551"/>
    <mergeCell ref="C547:D547"/>
    <mergeCell ref="E547:F547"/>
    <mergeCell ref="G547:H547"/>
    <mergeCell ref="I547:J547"/>
    <mergeCell ref="K547:L547"/>
    <mergeCell ref="C548:D548"/>
    <mergeCell ref="E548:F548"/>
    <mergeCell ref="G548:H548"/>
    <mergeCell ref="I548:J548"/>
    <mergeCell ref="K548:L548"/>
    <mergeCell ref="C554:D554"/>
    <mergeCell ref="E554:F554"/>
    <mergeCell ref="G554:H554"/>
    <mergeCell ref="I554:J554"/>
    <mergeCell ref="K554:L554"/>
    <mergeCell ref="C546:D546"/>
    <mergeCell ref="E546:F546"/>
    <mergeCell ref="G546:H546"/>
    <mergeCell ref="I546:J546"/>
    <mergeCell ref="K546:L546"/>
    <mergeCell ref="K543:L543"/>
    <mergeCell ref="C544:D544"/>
    <mergeCell ref="E544:F544"/>
    <mergeCell ref="G544:H544"/>
    <mergeCell ref="I544:J544"/>
    <mergeCell ref="K544:L544"/>
    <mergeCell ref="C541:D541"/>
    <mergeCell ref="E541:F541"/>
    <mergeCell ref="G541:H541"/>
    <mergeCell ref="I541:J541"/>
    <mergeCell ref="K541:L541"/>
    <mergeCell ref="C550:D550"/>
    <mergeCell ref="E550:F550"/>
    <mergeCell ref="G550:H550"/>
    <mergeCell ref="I550:J550"/>
    <mergeCell ref="K550:L550"/>
    <mergeCell ref="G538:H538"/>
    <mergeCell ref="I538:J538"/>
    <mergeCell ref="K538:L538"/>
    <mergeCell ref="B535:B541"/>
    <mergeCell ref="C536:D536"/>
    <mergeCell ref="E536:F536"/>
    <mergeCell ref="G536:H536"/>
    <mergeCell ref="I536:J536"/>
    <mergeCell ref="K536:L536"/>
    <mergeCell ref="C537:D537"/>
    <mergeCell ref="E537:F537"/>
    <mergeCell ref="G537:H537"/>
    <mergeCell ref="I537:J537"/>
    <mergeCell ref="C545:D545"/>
    <mergeCell ref="E545:F545"/>
    <mergeCell ref="G545:H545"/>
    <mergeCell ref="I545:J545"/>
    <mergeCell ref="K545:L545"/>
    <mergeCell ref="E534:F534"/>
    <mergeCell ref="G534:H534"/>
    <mergeCell ref="I534:J534"/>
    <mergeCell ref="K534:L534"/>
    <mergeCell ref="C531:D531"/>
    <mergeCell ref="E531:F531"/>
    <mergeCell ref="G531:H531"/>
    <mergeCell ref="I531:J531"/>
    <mergeCell ref="K531:L531"/>
    <mergeCell ref="C532:D532"/>
    <mergeCell ref="E532:F532"/>
    <mergeCell ref="G532:H532"/>
    <mergeCell ref="I532:J532"/>
    <mergeCell ref="K532:L532"/>
    <mergeCell ref="B542:B555"/>
    <mergeCell ref="C543:D543"/>
    <mergeCell ref="E543:F543"/>
    <mergeCell ref="G543:H543"/>
    <mergeCell ref="I543:J543"/>
    <mergeCell ref="C539:D539"/>
    <mergeCell ref="E539:F539"/>
    <mergeCell ref="G539:H539"/>
    <mergeCell ref="I539:J539"/>
    <mergeCell ref="K539:L539"/>
    <mergeCell ref="C540:D540"/>
    <mergeCell ref="E540:F540"/>
    <mergeCell ref="G540:H540"/>
    <mergeCell ref="I540:J540"/>
    <mergeCell ref="K540:L540"/>
    <mergeCell ref="K537:L537"/>
    <mergeCell ref="C538:D538"/>
    <mergeCell ref="E538:F538"/>
    <mergeCell ref="K529:L529"/>
    <mergeCell ref="C530:D530"/>
    <mergeCell ref="E530:F530"/>
    <mergeCell ref="G530:H530"/>
    <mergeCell ref="I530:J530"/>
    <mergeCell ref="K530:L530"/>
    <mergeCell ref="C527:D527"/>
    <mergeCell ref="E527:F527"/>
    <mergeCell ref="G527:H527"/>
    <mergeCell ref="I527:J527"/>
    <mergeCell ref="K527:L527"/>
    <mergeCell ref="B528:B534"/>
    <mergeCell ref="C529:D529"/>
    <mergeCell ref="E529:F529"/>
    <mergeCell ref="G529:H529"/>
    <mergeCell ref="I529:J529"/>
    <mergeCell ref="C525:D525"/>
    <mergeCell ref="E525:F525"/>
    <mergeCell ref="G525:H525"/>
    <mergeCell ref="I525:J525"/>
    <mergeCell ref="K525:L525"/>
    <mergeCell ref="C526:D526"/>
    <mergeCell ref="E526:F526"/>
    <mergeCell ref="G526:H526"/>
    <mergeCell ref="I526:J526"/>
    <mergeCell ref="K526:L526"/>
    <mergeCell ref="C533:D533"/>
    <mergeCell ref="E533:F533"/>
    <mergeCell ref="G533:H533"/>
    <mergeCell ref="I533:J533"/>
    <mergeCell ref="K533:L533"/>
    <mergeCell ref="C534:D534"/>
    <mergeCell ref="K523:L523"/>
    <mergeCell ref="C524:D524"/>
    <mergeCell ref="E524:F524"/>
    <mergeCell ref="G524:H524"/>
    <mergeCell ref="I524:J524"/>
    <mergeCell ref="K524:L524"/>
    <mergeCell ref="B521:B527"/>
    <mergeCell ref="C522:D522"/>
    <mergeCell ref="E522:F522"/>
    <mergeCell ref="G522:H522"/>
    <mergeCell ref="I522:J522"/>
    <mergeCell ref="K522:L522"/>
    <mergeCell ref="C523:D523"/>
    <mergeCell ref="E523:F523"/>
    <mergeCell ref="G523:H523"/>
    <mergeCell ref="I523:J523"/>
    <mergeCell ref="C519:D519"/>
    <mergeCell ref="E519:F519"/>
    <mergeCell ref="G519:H519"/>
    <mergeCell ref="I519:J519"/>
    <mergeCell ref="K519:L519"/>
    <mergeCell ref="C520:D520"/>
    <mergeCell ref="E520:F520"/>
    <mergeCell ref="G520:H520"/>
    <mergeCell ref="I520:J520"/>
    <mergeCell ref="K520:L520"/>
    <mergeCell ref="B514:B520"/>
    <mergeCell ref="C517:D517"/>
    <mergeCell ref="E517:F517"/>
    <mergeCell ref="G517:H517"/>
    <mergeCell ref="I517:J517"/>
    <mergeCell ref="K517:L517"/>
    <mergeCell ref="C518:D518"/>
    <mergeCell ref="E518:F518"/>
    <mergeCell ref="G518:H518"/>
    <mergeCell ref="I518:J518"/>
    <mergeCell ref="K518:L518"/>
    <mergeCell ref="K515:L515"/>
    <mergeCell ref="C516:D516"/>
    <mergeCell ref="E516:F516"/>
    <mergeCell ref="G516:H516"/>
    <mergeCell ref="I516:J516"/>
    <mergeCell ref="K516:L516"/>
    <mergeCell ref="C513:D513"/>
    <mergeCell ref="E513:F513"/>
    <mergeCell ref="G513:H513"/>
    <mergeCell ref="I513:J513"/>
    <mergeCell ref="K513:L513"/>
    <mergeCell ref="C515:D515"/>
    <mergeCell ref="E515:F515"/>
    <mergeCell ref="G515:H515"/>
    <mergeCell ref="I515:J515"/>
    <mergeCell ref="C512:D512"/>
    <mergeCell ref="E512:F512"/>
    <mergeCell ref="G512:H512"/>
    <mergeCell ref="I512:J512"/>
    <mergeCell ref="K512:L512"/>
    <mergeCell ref="K509:L509"/>
    <mergeCell ref="C510:D510"/>
    <mergeCell ref="E510:F510"/>
    <mergeCell ref="G510:H510"/>
    <mergeCell ref="I510:J510"/>
    <mergeCell ref="K510:L510"/>
    <mergeCell ref="B507:B513"/>
    <mergeCell ref="C508:D508"/>
    <mergeCell ref="E508:F508"/>
    <mergeCell ref="G508:H508"/>
    <mergeCell ref="I508:J508"/>
    <mergeCell ref="K508:L508"/>
    <mergeCell ref="C509:D509"/>
    <mergeCell ref="E509:F509"/>
    <mergeCell ref="G509:H509"/>
    <mergeCell ref="I509:J509"/>
    <mergeCell ref="E506:F506"/>
    <mergeCell ref="G506:H506"/>
    <mergeCell ref="I506:J506"/>
    <mergeCell ref="K506:L506"/>
    <mergeCell ref="C503:D503"/>
    <mergeCell ref="E503:F503"/>
    <mergeCell ref="G503:H503"/>
    <mergeCell ref="I503:J503"/>
    <mergeCell ref="K503:L503"/>
    <mergeCell ref="C504:D504"/>
    <mergeCell ref="E504:F504"/>
    <mergeCell ref="G504:H504"/>
    <mergeCell ref="I504:J504"/>
    <mergeCell ref="K504:L504"/>
    <mergeCell ref="C511:D511"/>
    <mergeCell ref="E511:F511"/>
    <mergeCell ref="G511:H511"/>
    <mergeCell ref="I511:J511"/>
    <mergeCell ref="K511:L511"/>
    <mergeCell ref="K501:L501"/>
    <mergeCell ref="C502:D502"/>
    <mergeCell ref="E502:F502"/>
    <mergeCell ref="G502:H502"/>
    <mergeCell ref="I502:J502"/>
    <mergeCell ref="K502:L502"/>
    <mergeCell ref="C499:D499"/>
    <mergeCell ref="E499:F499"/>
    <mergeCell ref="G499:H499"/>
    <mergeCell ref="I499:J499"/>
    <mergeCell ref="K499:L499"/>
    <mergeCell ref="B500:B506"/>
    <mergeCell ref="C501:D501"/>
    <mergeCell ref="E501:F501"/>
    <mergeCell ref="G501:H501"/>
    <mergeCell ref="I501:J501"/>
    <mergeCell ref="C497:D497"/>
    <mergeCell ref="E497:F497"/>
    <mergeCell ref="G497:H497"/>
    <mergeCell ref="I497:J497"/>
    <mergeCell ref="K497:L497"/>
    <mergeCell ref="C498:D498"/>
    <mergeCell ref="E498:F498"/>
    <mergeCell ref="G498:H498"/>
    <mergeCell ref="I498:J498"/>
    <mergeCell ref="K498:L498"/>
    <mergeCell ref="C505:D505"/>
    <mergeCell ref="E505:F505"/>
    <mergeCell ref="G505:H505"/>
    <mergeCell ref="I505:J505"/>
    <mergeCell ref="K505:L505"/>
    <mergeCell ref="C506:D506"/>
    <mergeCell ref="K495:L495"/>
    <mergeCell ref="C496:D496"/>
    <mergeCell ref="E496:F496"/>
    <mergeCell ref="G496:H496"/>
    <mergeCell ref="I496:J496"/>
    <mergeCell ref="K496:L496"/>
    <mergeCell ref="B493:B499"/>
    <mergeCell ref="C494:D494"/>
    <mergeCell ref="E494:F494"/>
    <mergeCell ref="G494:H494"/>
    <mergeCell ref="I494:J494"/>
    <mergeCell ref="K494:L494"/>
    <mergeCell ref="C495:D495"/>
    <mergeCell ref="E495:F495"/>
    <mergeCell ref="G495:H495"/>
    <mergeCell ref="I495:J495"/>
    <mergeCell ref="C491:D491"/>
    <mergeCell ref="E491:F491"/>
    <mergeCell ref="G491:H491"/>
    <mergeCell ref="I491:J491"/>
    <mergeCell ref="K491:L491"/>
    <mergeCell ref="C492:D492"/>
    <mergeCell ref="E492:F492"/>
    <mergeCell ref="G492:H492"/>
    <mergeCell ref="I492:J492"/>
    <mergeCell ref="K492:L492"/>
    <mergeCell ref="B486:B492"/>
    <mergeCell ref="C489:D489"/>
    <mergeCell ref="E489:F489"/>
    <mergeCell ref="G489:H489"/>
    <mergeCell ref="I489:J489"/>
    <mergeCell ref="K489:L489"/>
    <mergeCell ref="C490:D490"/>
    <mergeCell ref="E490:F490"/>
    <mergeCell ref="G490:H490"/>
    <mergeCell ref="I490:J490"/>
    <mergeCell ref="K490:L490"/>
    <mergeCell ref="K487:L487"/>
    <mergeCell ref="C488:D488"/>
    <mergeCell ref="E488:F488"/>
    <mergeCell ref="G488:H488"/>
    <mergeCell ref="I488:J488"/>
    <mergeCell ref="K488:L488"/>
    <mergeCell ref="C485:D485"/>
    <mergeCell ref="E485:F485"/>
    <mergeCell ref="G485:H485"/>
    <mergeCell ref="I485:J485"/>
    <mergeCell ref="K485:L485"/>
    <mergeCell ref="C487:D487"/>
    <mergeCell ref="E487:F487"/>
    <mergeCell ref="G487:H487"/>
    <mergeCell ref="I487:J487"/>
    <mergeCell ref="C484:D484"/>
    <mergeCell ref="E484:F484"/>
    <mergeCell ref="G484:H484"/>
    <mergeCell ref="I484:J484"/>
    <mergeCell ref="K484:L484"/>
    <mergeCell ref="K481:L481"/>
    <mergeCell ref="C482:D482"/>
    <mergeCell ref="E482:F482"/>
    <mergeCell ref="G482:H482"/>
    <mergeCell ref="I482:J482"/>
    <mergeCell ref="K482:L482"/>
    <mergeCell ref="B479:B485"/>
    <mergeCell ref="C480:D480"/>
    <mergeCell ref="E480:F480"/>
    <mergeCell ref="G480:H480"/>
    <mergeCell ref="I480:J480"/>
    <mergeCell ref="K480:L480"/>
    <mergeCell ref="C481:D481"/>
    <mergeCell ref="E481:F481"/>
    <mergeCell ref="G481:H481"/>
    <mergeCell ref="I481:J481"/>
    <mergeCell ref="E478:F478"/>
    <mergeCell ref="G478:H478"/>
    <mergeCell ref="I478:J478"/>
    <mergeCell ref="K478:L478"/>
    <mergeCell ref="C475:D475"/>
    <mergeCell ref="E475:F475"/>
    <mergeCell ref="G475:H475"/>
    <mergeCell ref="I475:J475"/>
    <mergeCell ref="K475:L475"/>
    <mergeCell ref="C476:D476"/>
    <mergeCell ref="E476:F476"/>
    <mergeCell ref="G476:H476"/>
    <mergeCell ref="I476:J476"/>
    <mergeCell ref="K476:L476"/>
    <mergeCell ref="C483:D483"/>
    <mergeCell ref="E483:F483"/>
    <mergeCell ref="G483:H483"/>
    <mergeCell ref="I483:J483"/>
    <mergeCell ref="K483:L483"/>
    <mergeCell ref="K473:L473"/>
    <mergeCell ref="C474:D474"/>
    <mergeCell ref="E474:F474"/>
    <mergeCell ref="G474:H474"/>
    <mergeCell ref="I474:J474"/>
    <mergeCell ref="K474:L474"/>
    <mergeCell ref="C471:D471"/>
    <mergeCell ref="E471:F471"/>
    <mergeCell ref="G471:H471"/>
    <mergeCell ref="I471:J471"/>
    <mergeCell ref="K471:L471"/>
    <mergeCell ref="B472:B478"/>
    <mergeCell ref="C473:D473"/>
    <mergeCell ref="E473:F473"/>
    <mergeCell ref="G473:H473"/>
    <mergeCell ref="I473:J473"/>
    <mergeCell ref="C469:D469"/>
    <mergeCell ref="E469:F469"/>
    <mergeCell ref="G469:H469"/>
    <mergeCell ref="I469:J469"/>
    <mergeCell ref="K469:L469"/>
    <mergeCell ref="C470:D470"/>
    <mergeCell ref="E470:F470"/>
    <mergeCell ref="G470:H470"/>
    <mergeCell ref="I470:J470"/>
    <mergeCell ref="K470:L470"/>
    <mergeCell ref="C477:D477"/>
    <mergeCell ref="E477:F477"/>
    <mergeCell ref="G477:H477"/>
    <mergeCell ref="I477:J477"/>
    <mergeCell ref="K477:L477"/>
    <mergeCell ref="C478:D478"/>
    <mergeCell ref="K467:L467"/>
    <mergeCell ref="C468:D468"/>
    <mergeCell ref="E468:F468"/>
    <mergeCell ref="G468:H468"/>
    <mergeCell ref="I468:J468"/>
    <mergeCell ref="K468:L468"/>
    <mergeCell ref="B465:B471"/>
    <mergeCell ref="C466:D466"/>
    <mergeCell ref="E466:F466"/>
    <mergeCell ref="G466:H466"/>
    <mergeCell ref="I466:J466"/>
    <mergeCell ref="K466:L466"/>
    <mergeCell ref="C467:D467"/>
    <mergeCell ref="E467:F467"/>
    <mergeCell ref="G467:H467"/>
    <mergeCell ref="I467:J467"/>
    <mergeCell ref="C463:D463"/>
    <mergeCell ref="E463:F463"/>
    <mergeCell ref="G463:H463"/>
    <mergeCell ref="I463:J463"/>
    <mergeCell ref="K463:L463"/>
    <mergeCell ref="C464:D464"/>
    <mergeCell ref="E464:F464"/>
    <mergeCell ref="G464:H464"/>
    <mergeCell ref="I464:J464"/>
    <mergeCell ref="K464:L464"/>
    <mergeCell ref="B458:B464"/>
    <mergeCell ref="C461:D461"/>
    <mergeCell ref="E461:F461"/>
    <mergeCell ref="G461:H461"/>
    <mergeCell ref="I461:J461"/>
    <mergeCell ref="K461:L461"/>
    <mergeCell ref="C462:D462"/>
    <mergeCell ref="E462:F462"/>
    <mergeCell ref="G462:H462"/>
    <mergeCell ref="I462:J462"/>
    <mergeCell ref="K462:L462"/>
    <mergeCell ref="K459:L459"/>
    <mergeCell ref="C460:D460"/>
    <mergeCell ref="E460:F460"/>
    <mergeCell ref="G460:H460"/>
    <mergeCell ref="I460:J460"/>
    <mergeCell ref="K460:L460"/>
    <mergeCell ref="C457:D457"/>
    <mergeCell ref="E457:F457"/>
    <mergeCell ref="G457:H457"/>
    <mergeCell ref="I457:J457"/>
    <mergeCell ref="K457:L457"/>
    <mergeCell ref="C459:D459"/>
    <mergeCell ref="E459:F459"/>
    <mergeCell ref="G459:H459"/>
    <mergeCell ref="I459:J459"/>
    <mergeCell ref="C456:D456"/>
    <mergeCell ref="E456:F456"/>
    <mergeCell ref="G456:H456"/>
    <mergeCell ref="I456:J456"/>
    <mergeCell ref="K456:L456"/>
    <mergeCell ref="K453:L453"/>
    <mergeCell ref="C454:D454"/>
    <mergeCell ref="E454:F454"/>
    <mergeCell ref="G454:H454"/>
    <mergeCell ref="I454:J454"/>
    <mergeCell ref="K454:L454"/>
    <mergeCell ref="B451:B457"/>
    <mergeCell ref="C452:D452"/>
    <mergeCell ref="E452:F452"/>
    <mergeCell ref="G452:H452"/>
    <mergeCell ref="I452:J452"/>
    <mergeCell ref="K452:L452"/>
    <mergeCell ref="C453:D453"/>
    <mergeCell ref="E453:F453"/>
    <mergeCell ref="G453:H453"/>
    <mergeCell ref="I453:J453"/>
    <mergeCell ref="E450:F450"/>
    <mergeCell ref="G450:H450"/>
    <mergeCell ref="I450:J450"/>
    <mergeCell ref="K450:L450"/>
    <mergeCell ref="C447:D447"/>
    <mergeCell ref="E447:F447"/>
    <mergeCell ref="G447:H447"/>
    <mergeCell ref="I447:J447"/>
    <mergeCell ref="K447:L447"/>
    <mergeCell ref="C448:D448"/>
    <mergeCell ref="E448:F448"/>
    <mergeCell ref="G448:H448"/>
    <mergeCell ref="I448:J448"/>
    <mergeCell ref="K448:L448"/>
    <mergeCell ref="C455:D455"/>
    <mergeCell ref="E455:F455"/>
    <mergeCell ref="G455:H455"/>
    <mergeCell ref="I455:J455"/>
    <mergeCell ref="K455:L455"/>
    <mergeCell ref="K445:L445"/>
    <mergeCell ref="C446:D446"/>
    <mergeCell ref="E446:F446"/>
    <mergeCell ref="G446:H446"/>
    <mergeCell ref="I446:J446"/>
    <mergeCell ref="K446:L446"/>
    <mergeCell ref="C443:D443"/>
    <mergeCell ref="E443:F443"/>
    <mergeCell ref="G443:H443"/>
    <mergeCell ref="I443:J443"/>
    <mergeCell ref="K443:L443"/>
    <mergeCell ref="B444:B450"/>
    <mergeCell ref="C445:D445"/>
    <mergeCell ref="E445:F445"/>
    <mergeCell ref="G445:H445"/>
    <mergeCell ref="I445:J445"/>
    <mergeCell ref="C441:D441"/>
    <mergeCell ref="E441:F441"/>
    <mergeCell ref="G441:H441"/>
    <mergeCell ref="I441:J441"/>
    <mergeCell ref="K441:L441"/>
    <mergeCell ref="C442:D442"/>
    <mergeCell ref="E442:F442"/>
    <mergeCell ref="G442:H442"/>
    <mergeCell ref="I442:J442"/>
    <mergeCell ref="K442:L442"/>
    <mergeCell ref="C449:D449"/>
    <mergeCell ref="E449:F449"/>
    <mergeCell ref="G449:H449"/>
    <mergeCell ref="I449:J449"/>
    <mergeCell ref="K449:L449"/>
    <mergeCell ref="C450:D450"/>
    <mergeCell ref="K439:L439"/>
    <mergeCell ref="C440:D440"/>
    <mergeCell ref="E440:F440"/>
    <mergeCell ref="G440:H440"/>
    <mergeCell ref="I440:J440"/>
    <mergeCell ref="K440:L440"/>
    <mergeCell ref="B437:B443"/>
    <mergeCell ref="C438:D438"/>
    <mergeCell ref="E438:F438"/>
    <mergeCell ref="G438:H438"/>
    <mergeCell ref="I438:J438"/>
    <mergeCell ref="K438:L438"/>
    <mergeCell ref="C439:D439"/>
    <mergeCell ref="E439:F439"/>
    <mergeCell ref="G439:H439"/>
    <mergeCell ref="I439:J439"/>
    <mergeCell ref="C435:D435"/>
    <mergeCell ref="E435:F435"/>
    <mergeCell ref="G435:H435"/>
    <mergeCell ref="I435:J435"/>
    <mergeCell ref="K435:L435"/>
    <mergeCell ref="C436:D436"/>
    <mergeCell ref="E436:F436"/>
    <mergeCell ref="G436:H436"/>
    <mergeCell ref="I436:J436"/>
    <mergeCell ref="K436:L436"/>
    <mergeCell ref="B430:B436"/>
    <mergeCell ref="C433:D433"/>
    <mergeCell ref="E433:F433"/>
    <mergeCell ref="G433:H433"/>
    <mergeCell ref="I433:J433"/>
    <mergeCell ref="K433:L433"/>
    <mergeCell ref="C434:D434"/>
    <mergeCell ref="E434:F434"/>
    <mergeCell ref="G434:H434"/>
    <mergeCell ref="I434:J434"/>
    <mergeCell ref="K434:L434"/>
    <mergeCell ref="K431:L431"/>
    <mergeCell ref="C432:D432"/>
    <mergeCell ref="E432:F432"/>
    <mergeCell ref="G432:H432"/>
    <mergeCell ref="I432:J432"/>
    <mergeCell ref="K432:L432"/>
    <mergeCell ref="C429:D429"/>
    <mergeCell ref="E429:F429"/>
    <mergeCell ref="G429:H429"/>
    <mergeCell ref="I429:J429"/>
    <mergeCell ref="K429:L429"/>
    <mergeCell ref="C431:D431"/>
    <mergeCell ref="E431:F431"/>
    <mergeCell ref="G431:H431"/>
    <mergeCell ref="I431:J431"/>
    <mergeCell ref="C428:D428"/>
    <mergeCell ref="E428:F428"/>
    <mergeCell ref="G428:H428"/>
    <mergeCell ref="I428:J428"/>
    <mergeCell ref="K428:L428"/>
    <mergeCell ref="K425:L425"/>
    <mergeCell ref="C426:D426"/>
    <mergeCell ref="E426:F426"/>
    <mergeCell ref="G426:H426"/>
    <mergeCell ref="I426:J426"/>
    <mergeCell ref="K426:L426"/>
    <mergeCell ref="B423:B429"/>
    <mergeCell ref="C424:D424"/>
    <mergeCell ref="E424:F424"/>
    <mergeCell ref="G424:H424"/>
    <mergeCell ref="I424:J424"/>
    <mergeCell ref="K424:L424"/>
    <mergeCell ref="C425:D425"/>
    <mergeCell ref="E425:F425"/>
    <mergeCell ref="G425:H425"/>
    <mergeCell ref="I425:J425"/>
    <mergeCell ref="E422:F422"/>
    <mergeCell ref="G422:H422"/>
    <mergeCell ref="I422:J422"/>
    <mergeCell ref="K422:L422"/>
    <mergeCell ref="C419:D419"/>
    <mergeCell ref="E419:F419"/>
    <mergeCell ref="G419:H419"/>
    <mergeCell ref="I419:J419"/>
    <mergeCell ref="K419:L419"/>
    <mergeCell ref="C420:D420"/>
    <mergeCell ref="E420:F420"/>
    <mergeCell ref="G420:H420"/>
    <mergeCell ref="I420:J420"/>
    <mergeCell ref="K420:L420"/>
    <mergeCell ref="C427:D427"/>
    <mergeCell ref="E427:F427"/>
    <mergeCell ref="G427:H427"/>
    <mergeCell ref="I427:J427"/>
    <mergeCell ref="K427:L427"/>
    <mergeCell ref="K417:L417"/>
    <mergeCell ref="C418:D418"/>
    <mergeCell ref="E418:F418"/>
    <mergeCell ref="G418:H418"/>
    <mergeCell ref="I418:J418"/>
    <mergeCell ref="K418:L418"/>
    <mergeCell ref="C415:D415"/>
    <mergeCell ref="E415:F415"/>
    <mergeCell ref="G415:H415"/>
    <mergeCell ref="I415:J415"/>
    <mergeCell ref="K415:L415"/>
    <mergeCell ref="B416:B422"/>
    <mergeCell ref="C417:D417"/>
    <mergeCell ref="E417:F417"/>
    <mergeCell ref="G417:H417"/>
    <mergeCell ref="I417:J417"/>
    <mergeCell ref="C413:D413"/>
    <mergeCell ref="E413:F413"/>
    <mergeCell ref="G413:H413"/>
    <mergeCell ref="I413:J413"/>
    <mergeCell ref="K413:L413"/>
    <mergeCell ref="C414:D414"/>
    <mergeCell ref="E414:F414"/>
    <mergeCell ref="G414:H414"/>
    <mergeCell ref="I414:J414"/>
    <mergeCell ref="K414:L414"/>
    <mergeCell ref="C421:D421"/>
    <mergeCell ref="E421:F421"/>
    <mergeCell ref="G421:H421"/>
    <mergeCell ref="I421:J421"/>
    <mergeCell ref="K421:L421"/>
    <mergeCell ref="C422:D422"/>
    <mergeCell ref="K411:L411"/>
    <mergeCell ref="C412:D412"/>
    <mergeCell ref="E412:F412"/>
    <mergeCell ref="G412:H412"/>
    <mergeCell ref="I412:J412"/>
    <mergeCell ref="K412:L412"/>
    <mergeCell ref="B409:B415"/>
    <mergeCell ref="C410:D410"/>
    <mergeCell ref="E410:F410"/>
    <mergeCell ref="G410:H410"/>
    <mergeCell ref="I410:J410"/>
    <mergeCell ref="K410:L410"/>
    <mergeCell ref="C411:D411"/>
    <mergeCell ref="E411:F411"/>
    <mergeCell ref="G411:H411"/>
    <mergeCell ref="I411:J411"/>
    <mergeCell ref="C407:D407"/>
    <mergeCell ref="E407:F407"/>
    <mergeCell ref="G407:H407"/>
    <mergeCell ref="I407:J407"/>
    <mergeCell ref="K407:L407"/>
    <mergeCell ref="C408:D408"/>
    <mergeCell ref="E408:F408"/>
    <mergeCell ref="G408:H408"/>
    <mergeCell ref="I408:J408"/>
    <mergeCell ref="K408:L408"/>
    <mergeCell ref="B402:B408"/>
    <mergeCell ref="C405:D405"/>
    <mergeCell ref="E405:F405"/>
    <mergeCell ref="G405:H405"/>
    <mergeCell ref="I405:J405"/>
    <mergeCell ref="K405:L405"/>
    <mergeCell ref="C406:D406"/>
    <mergeCell ref="E406:F406"/>
    <mergeCell ref="G406:H406"/>
    <mergeCell ref="I406:J406"/>
    <mergeCell ref="K406:L406"/>
    <mergeCell ref="K403:L403"/>
    <mergeCell ref="C404:D404"/>
    <mergeCell ref="E404:F404"/>
    <mergeCell ref="G404:H404"/>
    <mergeCell ref="I404:J404"/>
    <mergeCell ref="K404:L404"/>
    <mergeCell ref="C401:D401"/>
    <mergeCell ref="E401:F401"/>
    <mergeCell ref="G401:H401"/>
    <mergeCell ref="I401:J401"/>
    <mergeCell ref="K401:L401"/>
    <mergeCell ref="C403:D403"/>
    <mergeCell ref="E403:F403"/>
    <mergeCell ref="G403:H403"/>
    <mergeCell ref="I403:J403"/>
    <mergeCell ref="C400:D400"/>
    <mergeCell ref="E400:F400"/>
    <mergeCell ref="G400:H400"/>
    <mergeCell ref="I400:J400"/>
    <mergeCell ref="K400:L400"/>
    <mergeCell ref="K397:L397"/>
    <mergeCell ref="C398:D398"/>
    <mergeCell ref="E398:F398"/>
    <mergeCell ref="G398:H398"/>
    <mergeCell ref="I398:J398"/>
    <mergeCell ref="K398:L398"/>
    <mergeCell ref="B395:B401"/>
    <mergeCell ref="C396:D396"/>
    <mergeCell ref="E396:F396"/>
    <mergeCell ref="G396:H396"/>
    <mergeCell ref="I396:J396"/>
    <mergeCell ref="K396:L396"/>
    <mergeCell ref="C397:D397"/>
    <mergeCell ref="E397:F397"/>
    <mergeCell ref="G397:H397"/>
    <mergeCell ref="I397:J397"/>
    <mergeCell ref="E394:F394"/>
    <mergeCell ref="G394:H394"/>
    <mergeCell ref="I394:J394"/>
    <mergeCell ref="K394:L394"/>
    <mergeCell ref="C391:D391"/>
    <mergeCell ref="E391:F391"/>
    <mergeCell ref="G391:H391"/>
    <mergeCell ref="I391:J391"/>
    <mergeCell ref="K391:L391"/>
    <mergeCell ref="C392:D392"/>
    <mergeCell ref="E392:F392"/>
    <mergeCell ref="G392:H392"/>
    <mergeCell ref="I392:J392"/>
    <mergeCell ref="K392:L392"/>
    <mergeCell ref="C399:D399"/>
    <mergeCell ref="E399:F399"/>
    <mergeCell ref="G399:H399"/>
    <mergeCell ref="I399:J399"/>
    <mergeCell ref="K399:L399"/>
    <mergeCell ref="K389:L389"/>
    <mergeCell ref="C390:D390"/>
    <mergeCell ref="E390:F390"/>
    <mergeCell ref="G390:H390"/>
    <mergeCell ref="I390:J390"/>
    <mergeCell ref="K390:L390"/>
    <mergeCell ref="C387:D387"/>
    <mergeCell ref="E387:F387"/>
    <mergeCell ref="G387:H387"/>
    <mergeCell ref="I387:J387"/>
    <mergeCell ref="K387:L387"/>
    <mergeCell ref="B388:B394"/>
    <mergeCell ref="C389:D389"/>
    <mergeCell ref="E389:F389"/>
    <mergeCell ref="G389:H389"/>
    <mergeCell ref="I389:J389"/>
    <mergeCell ref="C385:D385"/>
    <mergeCell ref="E385:F385"/>
    <mergeCell ref="G385:H385"/>
    <mergeCell ref="I385:J385"/>
    <mergeCell ref="K385:L385"/>
    <mergeCell ref="C386:D386"/>
    <mergeCell ref="E386:F386"/>
    <mergeCell ref="G386:H386"/>
    <mergeCell ref="I386:J386"/>
    <mergeCell ref="K386:L386"/>
    <mergeCell ref="C393:D393"/>
    <mergeCell ref="E393:F393"/>
    <mergeCell ref="G393:H393"/>
    <mergeCell ref="I393:J393"/>
    <mergeCell ref="K393:L393"/>
    <mergeCell ref="C394:D394"/>
    <mergeCell ref="E375:F375"/>
    <mergeCell ref="G375:H375"/>
    <mergeCell ref="I375:J375"/>
    <mergeCell ref="K383:L383"/>
    <mergeCell ref="C384:D384"/>
    <mergeCell ref="E384:F384"/>
    <mergeCell ref="G384:H384"/>
    <mergeCell ref="I384:J384"/>
    <mergeCell ref="K384:L384"/>
    <mergeCell ref="B381:B387"/>
    <mergeCell ref="C382:D382"/>
    <mergeCell ref="E382:F382"/>
    <mergeCell ref="G382:H382"/>
    <mergeCell ref="I382:J382"/>
    <mergeCell ref="K382:L382"/>
    <mergeCell ref="C383:D383"/>
    <mergeCell ref="E383:F383"/>
    <mergeCell ref="G383:H383"/>
    <mergeCell ref="I383:J383"/>
    <mergeCell ref="C379:D379"/>
    <mergeCell ref="E379:F379"/>
    <mergeCell ref="G379:H379"/>
    <mergeCell ref="I379:J379"/>
    <mergeCell ref="K379:L379"/>
    <mergeCell ref="C380:D380"/>
    <mergeCell ref="E380:F380"/>
    <mergeCell ref="G380:H380"/>
    <mergeCell ref="I380:J380"/>
    <mergeCell ref="K380:L380"/>
    <mergeCell ref="B374:B380"/>
    <mergeCell ref="B367:B373"/>
    <mergeCell ref="C368:D368"/>
    <mergeCell ref="E368:F368"/>
    <mergeCell ref="G368:H368"/>
    <mergeCell ref="I368:J368"/>
    <mergeCell ref="K368:L368"/>
    <mergeCell ref="C369:D369"/>
    <mergeCell ref="E369:F369"/>
    <mergeCell ref="G369:H369"/>
    <mergeCell ref="I369:J369"/>
    <mergeCell ref="C377:D377"/>
    <mergeCell ref="E377:F377"/>
    <mergeCell ref="G377:H377"/>
    <mergeCell ref="I377:J377"/>
    <mergeCell ref="K377:L377"/>
    <mergeCell ref="C378:D378"/>
    <mergeCell ref="E378:F378"/>
    <mergeCell ref="G378:H378"/>
    <mergeCell ref="I378:J378"/>
    <mergeCell ref="K378:L378"/>
    <mergeCell ref="K375:L375"/>
    <mergeCell ref="C376:D376"/>
    <mergeCell ref="E376:F376"/>
    <mergeCell ref="G376:H376"/>
    <mergeCell ref="I376:J376"/>
    <mergeCell ref="K376:L376"/>
    <mergeCell ref="C373:D373"/>
    <mergeCell ref="E373:F373"/>
    <mergeCell ref="G373:H373"/>
    <mergeCell ref="I373:J373"/>
    <mergeCell ref="K373:L373"/>
    <mergeCell ref="C375:D375"/>
    <mergeCell ref="E363:F363"/>
    <mergeCell ref="G363:H363"/>
    <mergeCell ref="I363:J363"/>
    <mergeCell ref="K363:L363"/>
    <mergeCell ref="C364:D364"/>
    <mergeCell ref="E364:F364"/>
    <mergeCell ref="G364:H364"/>
    <mergeCell ref="I364:J364"/>
    <mergeCell ref="K364:L364"/>
    <mergeCell ref="C371:D371"/>
    <mergeCell ref="E371:F371"/>
    <mergeCell ref="G371:H371"/>
    <mergeCell ref="I371:J371"/>
    <mergeCell ref="K371:L371"/>
    <mergeCell ref="C372:D372"/>
    <mergeCell ref="E372:F372"/>
    <mergeCell ref="G372:H372"/>
    <mergeCell ref="I372:J372"/>
    <mergeCell ref="K372:L372"/>
    <mergeCell ref="K369:L369"/>
    <mergeCell ref="C370:D370"/>
    <mergeCell ref="E370:F370"/>
    <mergeCell ref="G370:H370"/>
    <mergeCell ref="I370:J370"/>
    <mergeCell ref="K370:L370"/>
    <mergeCell ref="C362:D362"/>
    <mergeCell ref="E362:F362"/>
    <mergeCell ref="G362:H362"/>
    <mergeCell ref="I362:J362"/>
    <mergeCell ref="K362:L362"/>
    <mergeCell ref="K358:L358"/>
    <mergeCell ref="C359:D359"/>
    <mergeCell ref="E359:F359"/>
    <mergeCell ref="G359:H359"/>
    <mergeCell ref="I359:J359"/>
    <mergeCell ref="K359:L359"/>
    <mergeCell ref="B357:B366"/>
    <mergeCell ref="C357:D357"/>
    <mergeCell ref="E357:F357"/>
    <mergeCell ref="G357:H357"/>
    <mergeCell ref="I357:J357"/>
    <mergeCell ref="K357:L357"/>
    <mergeCell ref="C358:D358"/>
    <mergeCell ref="E358:F358"/>
    <mergeCell ref="G358:H358"/>
    <mergeCell ref="I358:J358"/>
    <mergeCell ref="C365:D365"/>
    <mergeCell ref="E365:F365"/>
    <mergeCell ref="G365:H365"/>
    <mergeCell ref="I365:J365"/>
    <mergeCell ref="K365:L365"/>
    <mergeCell ref="C366:D366"/>
    <mergeCell ref="E366:F366"/>
    <mergeCell ref="G366:H366"/>
    <mergeCell ref="I366:J366"/>
    <mergeCell ref="K366:L366"/>
    <mergeCell ref="C363:D363"/>
    <mergeCell ref="C356:D356"/>
    <mergeCell ref="E356:F356"/>
    <mergeCell ref="G356:H356"/>
    <mergeCell ref="I356:J356"/>
    <mergeCell ref="K356:L356"/>
    <mergeCell ref="C352:D352"/>
    <mergeCell ref="E352:F352"/>
    <mergeCell ref="G352:H352"/>
    <mergeCell ref="I352:J352"/>
    <mergeCell ref="K352:L352"/>
    <mergeCell ref="C354:D354"/>
    <mergeCell ref="E354:F354"/>
    <mergeCell ref="G354:H354"/>
    <mergeCell ref="I354:J354"/>
    <mergeCell ref="K354:L354"/>
    <mergeCell ref="C361:D361"/>
    <mergeCell ref="E361:F361"/>
    <mergeCell ref="G361:H361"/>
    <mergeCell ref="I361:J361"/>
    <mergeCell ref="K361:L361"/>
    <mergeCell ref="C351:D351"/>
    <mergeCell ref="E351:F351"/>
    <mergeCell ref="G351:H351"/>
    <mergeCell ref="I351:J351"/>
    <mergeCell ref="K351:L351"/>
    <mergeCell ref="C348:D348"/>
    <mergeCell ref="E348:F348"/>
    <mergeCell ref="G348:H348"/>
    <mergeCell ref="I348:J348"/>
    <mergeCell ref="K348:L348"/>
    <mergeCell ref="C349:D349"/>
    <mergeCell ref="E349:F349"/>
    <mergeCell ref="G349:H349"/>
    <mergeCell ref="I349:J349"/>
    <mergeCell ref="K349:L349"/>
    <mergeCell ref="C355:D355"/>
    <mergeCell ref="E355:F355"/>
    <mergeCell ref="G355:H355"/>
    <mergeCell ref="I355:J355"/>
    <mergeCell ref="K355:L355"/>
    <mergeCell ref="C347:D347"/>
    <mergeCell ref="E347:F347"/>
    <mergeCell ref="G347:H347"/>
    <mergeCell ref="I347:J347"/>
    <mergeCell ref="K347:L347"/>
    <mergeCell ref="C343:D343"/>
    <mergeCell ref="E343:F343"/>
    <mergeCell ref="G343:H343"/>
    <mergeCell ref="I343:J343"/>
    <mergeCell ref="K343:L343"/>
    <mergeCell ref="C344:D344"/>
    <mergeCell ref="E344:F344"/>
    <mergeCell ref="G344:H344"/>
    <mergeCell ref="I344:J344"/>
    <mergeCell ref="K344:L344"/>
    <mergeCell ref="C350:D350"/>
    <mergeCell ref="E350:F350"/>
    <mergeCell ref="G350:H350"/>
    <mergeCell ref="I350:J350"/>
    <mergeCell ref="K350:L350"/>
    <mergeCell ref="C342:D342"/>
    <mergeCell ref="E342:F342"/>
    <mergeCell ref="G342:H342"/>
    <mergeCell ref="I342:J342"/>
    <mergeCell ref="K342:L342"/>
    <mergeCell ref="C338:D338"/>
    <mergeCell ref="E338:F338"/>
    <mergeCell ref="G338:H338"/>
    <mergeCell ref="I338:J338"/>
    <mergeCell ref="K338:L338"/>
    <mergeCell ref="C340:D340"/>
    <mergeCell ref="E340:F340"/>
    <mergeCell ref="G340:H340"/>
    <mergeCell ref="I340:J340"/>
    <mergeCell ref="K340:L340"/>
    <mergeCell ref="C345:D345"/>
    <mergeCell ref="E345:F345"/>
    <mergeCell ref="G345:H345"/>
    <mergeCell ref="I345:J345"/>
    <mergeCell ref="K345:L345"/>
    <mergeCell ref="C337:D337"/>
    <mergeCell ref="E337:F337"/>
    <mergeCell ref="G337:H337"/>
    <mergeCell ref="I337:J337"/>
    <mergeCell ref="K337:L337"/>
    <mergeCell ref="C334:D334"/>
    <mergeCell ref="E334:F334"/>
    <mergeCell ref="G334:H334"/>
    <mergeCell ref="I334:J334"/>
    <mergeCell ref="K334:L334"/>
    <mergeCell ref="C335:D335"/>
    <mergeCell ref="E335:F335"/>
    <mergeCell ref="G335:H335"/>
    <mergeCell ref="I335:J335"/>
    <mergeCell ref="K335:L335"/>
    <mergeCell ref="C341:D341"/>
    <mergeCell ref="E341:F341"/>
    <mergeCell ref="G341:H341"/>
    <mergeCell ref="I341:J341"/>
    <mergeCell ref="K341:L341"/>
    <mergeCell ref="E333:F333"/>
    <mergeCell ref="G333:H333"/>
    <mergeCell ref="I333:J333"/>
    <mergeCell ref="K333:L333"/>
    <mergeCell ref="K329:L329"/>
    <mergeCell ref="C330:D330"/>
    <mergeCell ref="E330:F330"/>
    <mergeCell ref="G330:H330"/>
    <mergeCell ref="I330:J330"/>
    <mergeCell ref="K330:L330"/>
    <mergeCell ref="C328:D328"/>
    <mergeCell ref="E328:F328"/>
    <mergeCell ref="G328:H328"/>
    <mergeCell ref="I328:J328"/>
    <mergeCell ref="K328:L328"/>
    <mergeCell ref="C336:D336"/>
    <mergeCell ref="E336:F336"/>
    <mergeCell ref="G336:H336"/>
    <mergeCell ref="I336:J336"/>
    <mergeCell ref="K336:L336"/>
    <mergeCell ref="B329:B338"/>
    <mergeCell ref="C329:D329"/>
    <mergeCell ref="E329:F329"/>
    <mergeCell ref="G329:H329"/>
    <mergeCell ref="I329:J329"/>
    <mergeCell ref="C326:D326"/>
    <mergeCell ref="E326:F326"/>
    <mergeCell ref="G326:H326"/>
    <mergeCell ref="I326:J326"/>
    <mergeCell ref="K326:L326"/>
    <mergeCell ref="C327:D327"/>
    <mergeCell ref="E327:F327"/>
    <mergeCell ref="G327:H327"/>
    <mergeCell ref="I327:J327"/>
    <mergeCell ref="K327:L327"/>
    <mergeCell ref="C323:D323"/>
    <mergeCell ref="E323:F323"/>
    <mergeCell ref="G323:H323"/>
    <mergeCell ref="I323:J323"/>
    <mergeCell ref="K323:L323"/>
    <mergeCell ref="C324:D324"/>
    <mergeCell ref="E324:F324"/>
    <mergeCell ref="G324:H324"/>
    <mergeCell ref="I324:J324"/>
    <mergeCell ref="K324:L324"/>
    <mergeCell ref="B318:B324"/>
    <mergeCell ref="C331:D331"/>
    <mergeCell ref="E331:F331"/>
    <mergeCell ref="G331:H331"/>
    <mergeCell ref="I331:J331"/>
    <mergeCell ref="K331:L331"/>
    <mergeCell ref="C333:D333"/>
    <mergeCell ref="C321:D321"/>
    <mergeCell ref="E321:F321"/>
    <mergeCell ref="G321:H321"/>
    <mergeCell ref="I321:J321"/>
    <mergeCell ref="K321:L321"/>
    <mergeCell ref="C322:D322"/>
    <mergeCell ref="E322:F322"/>
    <mergeCell ref="G322:H322"/>
    <mergeCell ref="I322:J322"/>
    <mergeCell ref="K322:L322"/>
    <mergeCell ref="K319:L319"/>
    <mergeCell ref="C320:D320"/>
    <mergeCell ref="E320:F320"/>
    <mergeCell ref="G320:H320"/>
    <mergeCell ref="I320:J320"/>
    <mergeCell ref="K320:L320"/>
    <mergeCell ref="C317:D317"/>
    <mergeCell ref="E317:F317"/>
    <mergeCell ref="G317:H317"/>
    <mergeCell ref="I317:J317"/>
    <mergeCell ref="K317:L317"/>
    <mergeCell ref="C319:D319"/>
    <mergeCell ref="E319:F319"/>
    <mergeCell ref="G319:H319"/>
    <mergeCell ref="I319:J319"/>
    <mergeCell ref="C316:D316"/>
    <mergeCell ref="E316:F316"/>
    <mergeCell ref="G316:H316"/>
    <mergeCell ref="I316:J316"/>
    <mergeCell ref="K316:L316"/>
    <mergeCell ref="K313:L313"/>
    <mergeCell ref="C314:D314"/>
    <mergeCell ref="E314:F314"/>
    <mergeCell ref="G314:H314"/>
    <mergeCell ref="I314:J314"/>
    <mergeCell ref="K314:L314"/>
    <mergeCell ref="B311:B317"/>
    <mergeCell ref="C312:D312"/>
    <mergeCell ref="E312:F312"/>
    <mergeCell ref="G312:H312"/>
    <mergeCell ref="I312:J312"/>
    <mergeCell ref="K312:L312"/>
    <mergeCell ref="C313:D313"/>
    <mergeCell ref="E313:F313"/>
    <mergeCell ref="G313:H313"/>
    <mergeCell ref="I313:J313"/>
    <mergeCell ref="E310:F310"/>
    <mergeCell ref="G310:H310"/>
    <mergeCell ref="I310:J310"/>
    <mergeCell ref="K310:L310"/>
    <mergeCell ref="C307:D307"/>
    <mergeCell ref="E307:F307"/>
    <mergeCell ref="G307:H307"/>
    <mergeCell ref="I307:J307"/>
    <mergeCell ref="K307:L307"/>
    <mergeCell ref="C308:D308"/>
    <mergeCell ref="E308:F308"/>
    <mergeCell ref="G308:H308"/>
    <mergeCell ref="I308:J308"/>
    <mergeCell ref="K308:L308"/>
    <mergeCell ref="C315:D315"/>
    <mergeCell ref="E315:F315"/>
    <mergeCell ref="G315:H315"/>
    <mergeCell ref="I315:J315"/>
    <mergeCell ref="K315:L315"/>
    <mergeCell ref="C305:D305"/>
    <mergeCell ref="E305:F305"/>
    <mergeCell ref="G305:H305"/>
    <mergeCell ref="I305:J305"/>
    <mergeCell ref="K305:L305"/>
    <mergeCell ref="C306:D306"/>
    <mergeCell ref="E306:F306"/>
    <mergeCell ref="G306:H306"/>
    <mergeCell ref="I306:J306"/>
    <mergeCell ref="K306:L306"/>
    <mergeCell ref="K302:L302"/>
    <mergeCell ref="C303:D303"/>
    <mergeCell ref="E303:F303"/>
    <mergeCell ref="G303:H303"/>
    <mergeCell ref="I303:J303"/>
    <mergeCell ref="K303:L303"/>
    <mergeCell ref="B301:B310"/>
    <mergeCell ref="C301:D301"/>
    <mergeCell ref="E301:F301"/>
    <mergeCell ref="G301:H301"/>
    <mergeCell ref="I301:J301"/>
    <mergeCell ref="K301:L301"/>
    <mergeCell ref="C302:D302"/>
    <mergeCell ref="E302:F302"/>
    <mergeCell ref="G302:H302"/>
    <mergeCell ref="I302:J302"/>
    <mergeCell ref="C309:D309"/>
    <mergeCell ref="E309:F309"/>
    <mergeCell ref="G309:H309"/>
    <mergeCell ref="I309:J309"/>
    <mergeCell ref="K309:L309"/>
    <mergeCell ref="C310:D310"/>
    <mergeCell ref="C299:D299"/>
    <mergeCell ref="E299:F299"/>
    <mergeCell ref="G299:H299"/>
    <mergeCell ref="I299:J299"/>
    <mergeCell ref="K299:L299"/>
    <mergeCell ref="C300:D300"/>
    <mergeCell ref="E300:F300"/>
    <mergeCell ref="G300:H300"/>
    <mergeCell ref="I300:J300"/>
    <mergeCell ref="K300:L300"/>
    <mergeCell ref="C296:D296"/>
    <mergeCell ref="E296:F296"/>
    <mergeCell ref="G296:H296"/>
    <mergeCell ref="I296:J296"/>
    <mergeCell ref="K296:L296"/>
    <mergeCell ref="C298:D298"/>
    <mergeCell ref="E298:F298"/>
    <mergeCell ref="G298:H298"/>
    <mergeCell ref="I298:J298"/>
    <mergeCell ref="K298:L298"/>
    <mergeCell ref="C294:D294"/>
    <mergeCell ref="E294:F294"/>
    <mergeCell ref="G294:H294"/>
    <mergeCell ref="I294:J294"/>
    <mergeCell ref="K294:L294"/>
    <mergeCell ref="C295:D295"/>
    <mergeCell ref="E295:F295"/>
    <mergeCell ref="G295:H295"/>
    <mergeCell ref="I295:J295"/>
    <mergeCell ref="K295:L295"/>
    <mergeCell ref="C292:D292"/>
    <mergeCell ref="E292:F292"/>
    <mergeCell ref="G292:H292"/>
    <mergeCell ref="I292:J292"/>
    <mergeCell ref="K292:L292"/>
    <mergeCell ref="C293:D293"/>
    <mergeCell ref="E293:F293"/>
    <mergeCell ref="G293:H293"/>
    <mergeCell ref="I293:J293"/>
    <mergeCell ref="K293:L293"/>
    <mergeCell ref="C289:D289"/>
    <mergeCell ref="E289:F289"/>
    <mergeCell ref="G289:H289"/>
    <mergeCell ref="I289:J289"/>
    <mergeCell ref="K289:L289"/>
    <mergeCell ref="C291:D291"/>
    <mergeCell ref="E291:F291"/>
    <mergeCell ref="G291:H291"/>
    <mergeCell ref="I291:J291"/>
    <mergeCell ref="K291:L291"/>
    <mergeCell ref="C287:D287"/>
    <mergeCell ref="E287:F287"/>
    <mergeCell ref="G287:H287"/>
    <mergeCell ref="I287:J287"/>
    <mergeCell ref="K287:L287"/>
    <mergeCell ref="C288:D288"/>
    <mergeCell ref="E288:F288"/>
    <mergeCell ref="G288:H288"/>
    <mergeCell ref="I288:J288"/>
    <mergeCell ref="K288:L288"/>
    <mergeCell ref="C285:D285"/>
    <mergeCell ref="E285:F285"/>
    <mergeCell ref="G285:H285"/>
    <mergeCell ref="I285:J285"/>
    <mergeCell ref="K285:L285"/>
    <mergeCell ref="C286:D286"/>
    <mergeCell ref="E286:F286"/>
    <mergeCell ref="G286:H286"/>
    <mergeCell ref="I286:J286"/>
    <mergeCell ref="K286:L286"/>
    <mergeCell ref="C282:D282"/>
    <mergeCell ref="E282:F282"/>
    <mergeCell ref="G282:H282"/>
    <mergeCell ref="I282:J282"/>
    <mergeCell ref="K282:L282"/>
    <mergeCell ref="C284:D284"/>
    <mergeCell ref="E284:F284"/>
    <mergeCell ref="G284:H284"/>
    <mergeCell ref="I284:J284"/>
    <mergeCell ref="K284:L284"/>
    <mergeCell ref="C280:D280"/>
    <mergeCell ref="E280:F280"/>
    <mergeCell ref="G280:H280"/>
    <mergeCell ref="I280:J280"/>
    <mergeCell ref="K280:L280"/>
    <mergeCell ref="C281:D281"/>
    <mergeCell ref="E281:F281"/>
    <mergeCell ref="G281:H281"/>
    <mergeCell ref="I281:J281"/>
    <mergeCell ref="K281:L281"/>
    <mergeCell ref="C278:D278"/>
    <mergeCell ref="E278:F278"/>
    <mergeCell ref="G278:H278"/>
    <mergeCell ref="I278:J278"/>
    <mergeCell ref="K278:L278"/>
    <mergeCell ref="C279:D279"/>
    <mergeCell ref="E279:F279"/>
    <mergeCell ref="G279:H279"/>
    <mergeCell ref="I279:J279"/>
    <mergeCell ref="K279:L279"/>
    <mergeCell ref="G270:H270"/>
    <mergeCell ref="I270:J270"/>
    <mergeCell ref="K270:L270"/>
    <mergeCell ref="C275:D275"/>
    <mergeCell ref="E275:F275"/>
    <mergeCell ref="G275:H275"/>
    <mergeCell ref="I275:J275"/>
    <mergeCell ref="K275:L275"/>
    <mergeCell ref="C277:D277"/>
    <mergeCell ref="E277:F277"/>
    <mergeCell ref="G277:H277"/>
    <mergeCell ref="I277:J277"/>
    <mergeCell ref="K277:L277"/>
    <mergeCell ref="C273:D273"/>
    <mergeCell ref="E273:F273"/>
    <mergeCell ref="G273:H273"/>
    <mergeCell ref="I273:J273"/>
    <mergeCell ref="K273:L273"/>
    <mergeCell ref="C274:D274"/>
    <mergeCell ref="E274:F274"/>
    <mergeCell ref="G274:H274"/>
    <mergeCell ref="I274:J274"/>
    <mergeCell ref="K274:L274"/>
    <mergeCell ref="B266:B275"/>
    <mergeCell ref="C266:D266"/>
    <mergeCell ref="E266:F266"/>
    <mergeCell ref="G266:H266"/>
    <mergeCell ref="I266:J266"/>
    <mergeCell ref="C263:D263"/>
    <mergeCell ref="E263:F263"/>
    <mergeCell ref="G263:H263"/>
    <mergeCell ref="I263:J263"/>
    <mergeCell ref="K263:L263"/>
    <mergeCell ref="C264:D264"/>
    <mergeCell ref="E264:F264"/>
    <mergeCell ref="G264:H264"/>
    <mergeCell ref="I264:J264"/>
    <mergeCell ref="K264:L264"/>
    <mergeCell ref="C271:D271"/>
    <mergeCell ref="E271:F271"/>
    <mergeCell ref="G271:H271"/>
    <mergeCell ref="I271:J271"/>
    <mergeCell ref="K271:L271"/>
    <mergeCell ref="C272:D272"/>
    <mergeCell ref="E272:F272"/>
    <mergeCell ref="G272:H272"/>
    <mergeCell ref="I272:J272"/>
    <mergeCell ref="K272:L272"/>
    <mergeCell ref="C268:D268"/>
    <mergeCell ref="E268:F268"/>
    <mergeCell ref="G268:H268"/>
    <mergeCell ref="I268:J268"/>
    <mergeCell ref="K268:L268"/>
    <mergeCell ref="C270:D270"/>
    <mergeCell ref="E270:F270"/>
    <mergeCell ref="C261:D261"/>
    <mergeCell ref="E261:F261"/>
    <mergeCell ref="G261:H261"/>
    <mergeCell ref="I261:J261"/>
    <mergeCell ref="K261:L261"/>
    <mergeCell ref="C258:D258"/>
    <mergeCell ref="E258:F258"/>
    <mergeCell ref="G258:H258"/>
    <mergeCell ref="I258:J258"/>
    <mergeCell ref="K258:L258"/>
    <mergeCell ref="C259:D259"/>
    <mergeCell ref="E259:F259"/>
    <mergeCell ref="G259:H259"/>
    <mergeCell ref="I259:J259"/>
    <mergeCell ref="K259:L259"/>
    <mergeCell ref="K266:L266"/>
    <mergeCell ref="C267:D267"/>
    <mergeCell ref="E267:F267"/>
    <mergeCell ref="G267:H267"/>
    <mergeCell ref="I267:J267"/>
    <mergeCell ref="K267:L267"/>
    <mergeCell ref="C265:D265"/>
    <mergeCell ref="E265:F265"/>
    <mergeCell ref="G265:H265"/>
    <mergeCell ref="I265:J265"/>
    <mergeCell ref="K265:L265"/>
    <mergeCell ref="C257:D257"/>
    <mergeCell ref="E257:F257"/>
    <mergeCell ref="G257:H257"/>
    <mergeCell ref="I257:J257"/>
    <mergeCell ref="K257:L257"/>
    <mergeCell ref="C253:D253"/>
    <mergeCell ref="E253:F253"/>
    <mergeCell ref="G253:H253"/>
    <mergeCell ref="I253:J253"/>
    <mergeCell ref="K253:L253"/>
    <mergeCell ref="C254:D254"/>
    <mergeCell ref="E254:F254"/>
    <mergeCell ref="G254:H254"/>
    <mergeCell ref="I254:J254"/>
    <mergeCell ref="K254:L254"/>
    <mergeCell ref="C260:D260"/>
    <mergeCell ref="E260:F260"/>
    <mergeCell ref="G260:H260"/>
    <mergeCell ref="I260:J260"/>
    <mergeCell ref="K260:L260"/>
    <mergeCell ref="C252:D252"/>
    <mergeCell ref="E252:F252"/>
    <mergeCell ref="G252:H252"/>
    <mergeCell ref="I252:J252"/>
    <mergeCell ref="K252:L252"/>
    <mergeCell ref="C249:D249"/>
    <mergeCell ref="E249:F249"/>
    <mergeCell ref="G249:H249"/>
    <mergeCell ref="I249:J249"/>
    <mergeCell ref="K249:L249"/>
    <mergeCell ref="C250:D250"/>
    <mergeCell ref="E250:F250"/>
    <mergeCell ref="G250:H250"/>
    <mergeCell ref="I250:J250"/>
    <mergeCell ref="K250:L250"/>
    <mergeCell ref="C256:D256"/>
    <mergeCell ref="E256:F256"/>
    <mergeCell ref="G256:H256"/>
    <mergeCell ref="I256:J256"/>
    <mergeCell ref="K256:L256"/>
    <mergeCell ref="E247:F247"/>
    <mergeCell ref="G247:H247"/>
    <mergeCell ref="I247:J247"/>
    <mergeCell ref="K247:L247"/>
    <mergeCell ref="C244:D244"/>
    <mergeCell ref="E244:F244"/>
    <mergeCell ref="G244:H244"/>
    <mergeCell ref="I244:J244"/>
    <mergeCell ref="K244:L244"/>
    <mergeCell ref="C245:D245"/>
    <mergeCell ref="E245:F245"/>
    <mergeCell ref="G245:H245"/>
    <mergeCell ref="I245:J245"/>
    <mergeCell ref="K245:L245"/>
    <mergeCell ref="C251:D251"/>
    <mergeCell ref="E251:F251"/>
    <mergeCell ref="G251:H251"/>
    <mergeCell ref="I251:J251"/>
    <mergeCell ref="K251:L251"/>
    <mergeCell ref="K242:L242"/>
    <mergeCell ref="C243:D243"/>
    <mergeCell ref="E243:F243"/>
    <mergeCell ref="G243:H243"/>
    <mergeCell ref="I243:J243"/>
    <mergeCell ref="K243:L243"/>
    <mergeCell ref="C240:D240"/>
    <mergeCell ref="E240:F240"/>
    <mergeCell ref="G240:H240"/>
    <mergeCell ref="I240:J240"/>
    <mergeCell ref="K240:L240"/>
    <mergeCell ref="B241:B247"/>
    <mergeCell ref="C242:D242"/>
    <mergeCell ref="E242:F242"/>
    <mergeCell ref="G242:H242"/>
    <mergeCell ref="I242:J242"/>
    <mergeCell ref="C238:D238"/>
    <mergeCell ref="E238:F238"/>
    <mergeCell ref="G238:H238"/>
    <mergeCell ref="I238:J238"/>
    <mergeCell ref="K238:L238"/>
    <mergeCell ref="C239:D239"/>
    <mergeCell ref="E239:F239"/>
    <mergeCell ref="G239:H239"/>
    <mergeCell ref="I239:J239"/>
    <mergeCell ref="K239:L239"/>
    <mergeCell ref="C246:D246"/>
    <mergeCell ref="E246:F246"/>
    <mergeCell ref="G246:H246"/>
    <mergeCell ref="I246:J246"/>
    <mergeCell ref="K246:L246"/>
    <mergeCell ref="C247:D247"/>
    <mergeCell ref="C236:D236"/>
    <mergeCell ref="E236:F236"/>
    <mergeCell ref="G236:H236"/>
    <mergeCell ref="I236:J236"/>
    <mergeCell ref="K236:L236"/>
    <mergeCell ref="C237:D237"/>
    <mergeCell ref="E237:F237"/>
    <mergeCell ref="G237:H237"/>
    <mergeCell ref="I237:J237"/>
    <mergeCell ref="K237:L237"/>
    <mergeCell ref="C233:D233"/>
    <mergeCell ref="E233:F233"/>
    <mergeCell ref="G233:H233"/>
    <mergeCell ref="I233:J233"/>
    <mergeCell ref="K233:L233"/>
    <mergeCell ref="C235:D235"/>
    <mergeCell ref="E235:F235"/>
    <mergeCell ref="G235:H235"/>
    <mergeCell ref="I235:J235"/>
    <mergeCell ref="K235:L235"/>
    <mergeCell ref="C231:D231"/>
    <mergeCell ref="E231:F231"/>
    <mergeCell ref="G231:H231"/>
    <mergeCell ref="I231:J231"/>
    <mergeCell ref="K231:L231"/>
    <mergeCell ref="C232:D232"/>
    <mergeCell ref="E232:F232"/>
    <mergeCell ref="G232:H232"/>
    <mergeCell ref="I232:J232"/>
    <mergeCell ref="K232:L232"/>
    <mergeCell ref="C229:D229"/>
    <mergeCell ref="E229:F229"/>
    <mergeCell ref="G229:H229"/>
    <mergeCell ref="I229:J229"/>
    <mergeCell ref="K229:L229"/>
    <mergeCell ref="C230:D230"/>
    <mergeCell ref="E230:F230"/>
    <mergeCell ref="G230:H230"/>
    <mergeCell ref="I230:J230"/>
    <mergeCell ref="K230:L230"/>
    <mergeCell ref="C226:D226"/>
    <mergeCell ref="E226:F226"/>
    <mergeCell ref="G226:H226"/>
    <mergeCell ref="I226:J226"/>
    <mergeCell ref="K226:L226"/>
    <mergeCell ref="C228:D228"/>
    <mergeCell ref="E228:F228"/>
    <mergeCell ref="G228:H228"/>
    <mergeCell ref="I228:J228"/>
    <mergeCell ref="K228:L228"/>
    <mergeCell ref="C224:D224"/>
    <mergeCell ref="E224:F224"/>
    <mergeCell ref="G224:H224"/>
    <mergeCell ref="I224:J224"/>
    <mergeCell ref="K224:L224"/>
    <mergeCell ref="C225:D225"/>
    <mergeCell ref="E225:F225"/>
    <mergeCell ref="G225:H225"/>
    <mergeCell ref="I225:J225"/>
    <mergeCell ref="K225:L225"/>
    <mergeCell ref="G215:H215"/>
    <mergeCell ref="I215:J215"/>
    <mergeCell ref="K215:L215"/>
    <mergeCell ref="C216:D216"/>
    <mergeCell ref="E216:F216"/>
    <mergeCell ref="G216:H216"/>
    <mergeCell ref="I216:J216"/>
    <mergeCell ref="K216:L216"/>
    <mergeCell ref="C222:D222"/>
    <mergeCell ref="E222:F222"/>
    <mergeCell ref="G222:H222"/>
    <mergeCell ref="I222:J222"/>
    <mergeCell ref="K222:L222"/>
    <mergeCell ref="C223:D223"/>
    <mergeCell ref="E223:F223"/>
    <mergeCell ref="G223:H223"/>
    <mergeCell ref="I223:J223"/>
    <mergeCell ref="K223:L223"/>
    <mergeCell ref="C219:D219"/>
    <mergeCell ref="E219:F219"/>
    <mergeCell ref="G219:H219"/>
    <mergeCell ref="I219:J219"/>
    <mergeCell ref="K219:L219"/>
    <mergeCell ref="C221:D221"/>
    <mergeCell ref="E221:F221"/>
    <mergeCell ref="G221:H221"/>
    <mergeCell ref="I221:J221"/>
    <mergeCell ref="K221:L221"/>
    <mergeCell ref="B211:B219"/>
    <mergeCell ref="C211:D211"/>
    <mergeCell ref="E211:F211"/>
    <mergeCell ref="G211:H211"/>
    <mergeCell ref="I211:J211"/>
    <mergeCell ref="K211:L211"/>
    <mergeCell ref="C212:D212"/>
    <mergeCell ref="E212:F212"/>
    <mergeCell ref="G212:H212"/>
    <mergeCell ref="I212:J212"/>
    <mergeCell ref="C209:D209"/>
    <mergeCell ref="E209:F209"/>
    <mergeCell ref="G209:H209"/>
    <mergeCell ref="I209:J209"/>
    <mergeCell ref="K209:L209"/>
    <mergeCell ref="C210:D210"/>
    <mergeCell ref="E210:F210"/>
    <mergeCell ref="G210:H210"/>
    <mergeCell ref="I210:J210"/>
    <mergeCell ref="K210:L210"/>
    <mergeCell ref="C217:D217"/>
    <mergeCell ref="E217:F217"/>
    <mergeCell ref="G217:H217"/>
    <mergeCell ref="I217:J217"/>
    <mergeCell ref="K217:L217"/>
    <mergeCell ref="C218:D218"/>
    <mergeCell ref="E218:F218"/>
    <mergeCell ref="G218:H218"/>
    <mergeCell ref="I218:J218"/>
    <mergeCell ref="K218:L218"/>
    <mergeCell ref="C215:D215"/>
    <mergeCell ref="E215:F215"/>
    <mergeCell ref="C208:D208"/>
    <mergeCell ref="E208:F208"/>
    <mergeCell ref="G208:H208"/>
    <mergeCell ref="I208:J208"/>
    <mergeCell ref="K208:L208"/>
    <mergeCell ref="C204:D204"/>
    <mergeCell ref="E204:F204"/>
    <mergeCell ref="G204:H204"/>
    <mergeCell ref="I204:J204"/>
    <mergeCell ref="K204:L204"/>
    <mergeCell ref="C205:D205"/>
    <mergeCell ref="E205:F205"/>
    <mergeCell ref="G205:H205"/>
    <mergeCell ref="I205:J205"/>
    <mergeCell ref="K205:L205"/>
    <mergeCell ref="K212:L212"/>
    <mergeCell ref="C214:D214"/>
    <mergeCell ref="E214:F214"/>
    <mergeCell ref="G214:H214"/>
    <mergeCell ref="I214:J214"/>
    <mergeCell ref="K214:L214"/>
    <mergeCell ref="C203:D203"/>
    <mergeCell ref="E203:F203"/>
    <mergeCell ref="G203:H203"/>
    <mergeCell ref="I203:J203"/>
    <mergeCell ref="K203:L203"/>
    <mergeCell ref="C200:D200"/>
    <mergeCell ref="E200:F200"/>
    <mergeCell ref="G200:H200"/>
    <mergeCell ref="I200:J200"/>
    <mergeCell ref="K200:L200"/>
    <mergeCell ref="C201:D201"/>
    <mergeCell ref="E201:F201"/>
    <mergeCell ref="G201:H201"/>
    <mergeCell ref="I201:J201"/>
    <mergeCell ref="K201:L201"/>
    <mergeCell ref="C207:D207"/>
    <mergeCell ref="E207:F207"/>
    <mergeCell ref="G207:H207"/>
    <mergeCell ref="I207:J207"/>
    <mergeCell ref="K207:L207"/>
    <mergeCell ref="C198:D198"/>
    <mergeCell ref="E198:F198"/>
    <mergeCell ref="G198:H198"/>
    <mergeCell ref="I198:J198"/>
    <mergeCell ref="K198:L198"/>
    <mergeCell ref="C195:D195"/>
    <mergeCell ref="E195:F195"/>
    <mergeCell ref="G195:H195"/>
    <mergeCell ref="I195:J195"/>
    <mergeCell ref="K195:L195"/>
    <mergeCell ref="C196:D196"/>
    <mergeCell ref="E196:F196"/>
    <mergeCell ref="G196:H196"/>
    <mergeCell ref="I196:J196"/>
    <mergeCell ref="K196:L196"/>
    <mergeCell ref="C202:D202"/>
    <mergeCell ref="E202:F202"/>
    <mergeCell ref="G202:H202"/>
    <mergeCell ref="I202:J202"/>
    <mergeCell ref="K202:L202"/>
    <mergeCell ref="C194:D194"/>
    <mergeCell ref="E194:F194"/>
    <mergeCell ref="G194:H194"/>
    <mergeCell ref="I194:J194"/>
    <mergeCell ref="K194:L194"/>
    <mergeCell ref="C190:D190"/>
    <mergeCell ref="E190:F190"/>
    <mergeCell ref="G190:H190"/>
    <mergeCell ref="I190:J190"/>
    <mergeCell ref="K190:L190"/>
    <mergeCell ref="C191:D191"/>
    <mergeCell ref="E191:F191"/>
    <mergeCell ref="G191:H191"/>
    <mergeCell ref="I191:J191"/>
    <mergeCell ref="K191:L191"/>
    <mergeCell ref="C197:D197"/>
    <mergeCell ref="E197:F197"/>
    <mergeCell ref="G197:H197"/>
    <mergeCell ref="I197:J197"/>
    <mergeCell ref="K197:L197"/>
    <mergeCell ref="C189:D189"/>
    <mergeCell ref="E189:F189"/>
    <mergeCell ref="G189:H189"/>
    <mergeCell ref="I189:J189"/>
    <mergeCell ref="K189:L189"/>
    <mergeCell ref="C186:D186"/>
    <mergeCell ref="E186:F186"/>
    <mergeCell ref="G186:H186"/>
    <mergeCell ref="I186:J186"/>
    <mergeCell ref="K186:L186"/>
    <mergeCell ref="C187:D187"/>
    <mergeCell ref="E187:F187"/>
    <mergeCell ref="G187:H187"/>
    <mergeCell ref="I187:J187"/>
    <mergeCell ref="K187:L187"/>
    <mergeCell ref="C193:D193"/>
    <mergeCell ref="E193:F193"/>
    <mergeCell ref="G193:H193"/>
    <mergeCell ref="I193:J193"/>
    <mergeCell ref="K193:L193"/>
    <mergeCell ref="E184:F184"/>
    <mergeCell ref="G184:H184"/>
    <mergeCell ref="I184:J184"/>
    <mergeCell ref="K184:L184"/>
    <mergeCell ref="C181:D181"/>
    <mergeCell ref="E181:F181"/>
    <mergeCell ref="G181:H181"/>
    <mergeCell ref="I181:J181"/>
    <mergeCell ref="K181:L181"/>
    <mergeCell ref="C182:D182"/>
    <mergeCell ref="E182:F182"/>
    <mergeCell ref="G182:H182"/>
    <mergeCell ref="I182:J182"/>
    <mergeCell ref="K182:L182"/>
    <mergeCell ref="C188:D188"/>
    <mergeCell ref="E188:F188"/>
    <mergeCell ref="G188:H188"/>
    <mergeCell ref="I188:J188"/>
    <mergeCell ref="K188:L188"/>
    <mergeCell ref="K179:L179"/>
    <mergeCell ref="C180:D180"/>
    <mergeCell ref="E180:F180"/>
    <mergeCell ref="G180:H180"/>
    <mergeCell ref="I180:J180"/>
    <mergeCell ref="K180:L180"/>
    <mergeCell ref="C177:D177"/>
    <mergeCell ref="E177:F177"/>
    <mergeCell ref="G177:H177"/>
    <mergeCell ref="I177:J177"/>
    <mergeCell ref="K177:L177"/>
    <mergeCell ref="B178:B184"/>
    <mergeCell ref="C179:D179"/>
    <mergeCell ref="E179:F179"/>
    <mergeCell ref="G179:H179"/>
    <mergeCell ref="I179:J179"/>
    <mergeCell ref="C175:D175"/>
    <mergeCell ref="E175:F175"/>
    <mergeCell ref="G175:H175"/>
    <mergeCell ref="I175:J175"/>
    <mergeCell ref="K175:L175"/>
    <mergeCell ref="C176:D176"/>
    <mergeCell ref="E176:F176"/>
    <mergeCell ref="G176:H176"/>
    <mergeCell ref="I176:J176"/>
    <mergeCell ref="K176:L176"/>
    <mergeCell ref="C183:D183"/>
    <mergeCell ref="E183:F183"/>
    <mergeCell ref="G183:H183"/>
    <mergeCell ref="I183:J183"/>
    <mergeCell ref="K183:L183"/>
    <mergeCell ref="C184:D184"/>
    <mergeCell ref="C173:D173"/>
    <mergeCell ref="E173:F173"/>
    <mergeCell ref="G173:H173"/>
    <mergeCell ref="I173:J173"/>
    <mergeCell ref="K173:L173"/>
    <mergeCell ref="C174:D174"/>
    <mergeCell ref="E174:F174"/>
    <mergeCell ref="G174:H174"/>
    <mergeCell ref="I174:J174"/>
    <mergeCell ref="K174:L174"/>
    <mergeCell ref="C170:D170"/>
    <mergeCell ref="E170:F170"/>
    <mergeCell ref="G170:H170"/>
    <mergeCell ref="I170:J170"/>
    <mergeCell ref="K170:L170"/>
    <mergeCell ref="C172:D172"/>
    <mergeCell ref="E172:F172"/>
    <mergeCell ref="G172:H172"/>
    <mergeCell ref="I172:J172"/>
    <mergeCell ref="K172:L172"/>
    <mergeCell ref="C168:D168"/>
    <mergeCell ref="E168:F168"/>
    <mergeCell ref="G168:H168"/>
    <mergeCell ref="I168:J168"/>
    <mergeCell ref="K168:L168"/>
    <mergeCell ref="C169:D169"/>
    <mergeCell ref="E169:F169"/>
    <mergeCell ref="G169:H169"/>
    <mergeCell ref="I169:J169"/>
    <mergeCell ref="K169:L169"/>
    <mergeCell ref="C166:D166"/>
    <mergeCell ref="E166:F166"/>
    <mergeCell ref="G166:H166"/>
    <mergeCell ref="I166:J166"/>
    <mergeCell ref="K166:L166"/>
    <mergeCell ref="C167:D167"/>
    <mergeCell ref="E167:F167"/>
    <mergeCell ref="G167:H167"/>
    <mergeCell ref="I167:J167"/>
    <mergeCell ref="K167:L167"/>
    <mergeCell ref="C163:D163"/>
    <mergeCell ref="E163:F163"/>
    <mergeCell ref="G163:H163"/>
    <mergeCell ref="I163:J163"/>
    <mergeCell ref="K163:L163"/>
    <mergeCell ref="C165:D165"/>
    <mergeCell ref="E165:F165"/>
    <mergeCell ref="G165:H165"/>
    <mergeCell ref="I165:J165"/>
    <mergeCell ref="K165:L165"/>
    <mergeCell ref="C161:D161"/>
    <mergeCell ref="E161:F161"/>
    <mergeCell ref="G161:H161"/>
    <mergeCell ref="I161:J161"/>
    <mergeCell ref="K161:L161"/>
    <mergeCell ref="C162:D162"/>
    <mergeCell ref="E162:F162"/>
    <mergeCell ref="G162:H162"/>
    <mergeCell ref="I162:J162"/>
    <mergeCell ref="K162:L162"/>
    <mergeCell ref="C159:D159"/>
    <mergeCell ref="E159:F159"/>
    <mergeCell ref="G159:H159"/>
    <mergeCell ref="I159:J159"/>
    <mergeCell ref="K159:L159"/>
    <mergeCell ref="C160:D160"/>
    <mergeCell ref="E160:F160"/>
    <mergeCell ref="G160:H160"/>
    <mergeCell ref="I160:J160"/>
    <mergeCell ref="K160:L160"/>
    <mergeCell ref="C156:D156"/>
    <mergeCell ref="E156:F156"/>
    <mergeCell ref="G156:H156"/>
    <mergeCell ref="I156:J156"/>
    <mergeCell ref="K156:L156"/>
    <mergeCell ref="C158:D158"/>
    <mergeCell ref="E158:F158"/>
    <mergeCell ref="G158:H158"/>
    <mergeCell ref="I158:J158"/>
    <mergeCell ref="K158:L158"/>
    <mergeCell ref="C155:D155"/>
    <mergeCell ref="E155:F155"/>
    <mergeCell ref="G155:H155"/>
    <mergeCell ref="I155:J155"/>
    <mergeCell ref="K155:L155"/>
    <mergeCell ref="K152:L152"/>
    <mergeCell ref="C153:D153"/>
    <mergeCell ref="E153:F153"/>
    <mergeCell ref="G153:H153"/>
    <mergeCell ref="I153:J153"/>
    <mergeCell ref="K153:L153"/>
    <mergeCell ref="B150:B156"/>
    <mergeCell ref="C151:D151"/>
    <mergeCell ref="E151:F151"/>
    <mergeCell ref="G151:H151"/>
    <mergeCell ref="I151:J151"/>
    <mergeCell ref="K151:L151"/>
    <mergeCell ref="C152:D152"/>
    <mergeCell ref="E152:F152"/>
    <mergeCell ref="G152:H152"/>
    <mergeCell ref="I152:J152"/>
    <mergeCell ref="C149:D149"/>
    <mergeCell ref="E149:F149"/>
    <mergeCell ref="G149:H149"/>
    <mergeCell ref="I149:J149"/>
    <mergeCell ref="K149:L149"/>
    <mergeCell ref="C146:D146"/>
    <mergeCell ref="E146:F146"/>
    <mergeCell ref="G146:H146"/>
    <mergeCell ref="I146:J146"/>
    <mergeCell ref="K146:L146"/>
    <mergeCell ref="C147:D147"/>
    <mergeCell ref="E147:F147"/>
    <mergeCell ref="G147:H147"/>
    <mergeCell ref="I147:J147"/>
    <mergeCell ref="K147:L147"/>
    <mergeCell ref="C154:D154"/>
    <mergeCell ref="E154:F154"/>
    <mergeCell ref="G154:H154"/>
    <mergeCell ref="I154:J154"/>
    <mergeCell ref="K154:L154"/>
    <mergeCell ref="C145:D145"/>
    <mergeCell ref="E145:F145"/>
    <mergeCell ref="G145:H145"/>
    <mergeCell ref="I145:J145"/>
    <mergeCell ref="K145:L145"/>
    <mergeCell ref="C141:D141"/>
    <mergeCell ref="E141:F141"/>
    <mergeCell ref="G141:H141"/>
    <mergeCell ref="I141:J141"/>
    <mergeCell ref="K141:L141"/>
    <mergeCell ref="C142:D142"/>
    <mergeCell ref="E142:F142"/>
    <mergeCell ref="G142:H142"/>
    <mergeCell ref="I142:J142"/>
    <mergeCell ref="K142:L142"/>
    <mergeCell ref="C148:D148"/>
    <mergeCell ref="E148:F148"/>
    <mergeCell ref="G148:H148"/>
    <mergeCell ref="I148:J148"/>
    <mergeCell ref="K148:L148"/>
    <mergeCell ref="C140:D140"/>
    <mergeCell ref="E140:F140"/>
    <mergeCell ref="G140:H140"/>
    <mergeCell ref="I140:J140"/>
    <mergeCell ref="K140:L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K138:L138"/>
    <mergeCell ref="C144:D144"/>
    <mergeCell ref="E144:F144"/>
    <mergeCell ref="G144:H144"/>
    <mergeCell ref="I144:J144"/>
    <mergeCell ref="K144:L144"/>
    <mergeCell ref="C135:D135"/>
    <mergeCell ref="E135:F135"/>
    <mergeCell ref="G135:H135"/>
    <mergeCell ref="I135:J135"/>
    <mergeCell ref="K135:L135"/>
    <mergeCell ref="C132:D132"/>
    <mergeCell ref="E132:F132"/>
    <mergeCell ref="G132:H132"/>
    <mergeCell ref="I132:J132"/>
    <mergeCell ref="K132:L132"/>
    <mergeCell ref="C133:D133"/>
    <mergeCell ref="E133:F133"/>
    <mergeCell ref="G133:H133"/>
    <mergeCell ref="I133:J133"/>
    <mergeCell ref="K133:L133"/>
    <mergeCell ref="C139:D139"/>
    <mergeCell ref="E139:F139"/>
    <mergeCell ref="G139:H139"/>
    <mergeCell ref="I139:J139"/>
    <mergeCell ref="K139:L139"/>
    <mergeCell ref="C131:D131"/>
    <mergeCell ref="E131:F131"/>
    <mergeCell ref="G131:H131"/>
    <mergeCell ref="I131:J131"/>
    <mergeCell ref="K131:L131"/>
    <mergeCell ref="C127:D127"/>
    <mergeCell ref="E127:F127"/>
    <mergeCell ref="G127:H127"/>
    <mergeCell ref="I127:J127"/>
    <mergeCell ref="K127:L127"/>
    <mergeCell ref="C128:D128"/>
    <mergeCell ref="E128:F128"/>
    <mergeCell ref="G128:H128"/>
    <mergeCell ref="I128:J128"/>
    <mergeCell ref="K128:L128"/>
    <mergeCell ref="C134:D134"/>
    <mergeCell ref="E134:F134"/>
    <mergeCell ref="G134:H134"/>
    <mergeCell ref="I134:J134"/>
    <mergeCell ref="K134:L134"/>
    <mergeCell ref="C126:D126"/>
    <mergeCell ref="E126:F126"/>
    <mergeCell ref="G126:H126"/>
    <mergeCell ref="I126:J126"/>
    <mergeCell ref="K126:L126"/>
    <mergeCell ref="K123:L123"/>
    <mergeCell ref="C124:D124"/>
    <mergeCell ref="E124:F124"/>
    <mergeCell ref="G124:H124"/>
    <mergeCell ref="I124:J124"/>
    <mergeCell ref="K124:L124"/>
    <mergeCell ref="C121:D121"/>
    <mergeCell ref="E121:F121"/>
    <mergeCell ref="G121:H121"/>
    <mergeCell ref="I121:J121"/>
    <mergeCell ref="K121:L121"/>
    <mergeCell ref="C130:D130"/>
    <mergeCell ref="E130:F130"/>
    <mergeCell ref="G130:H130"/>
    <mergeCell ref="I130:J130"/>
    <mergeCell ref="K130:L130"/>
    <mergeCell ref="G118:H118"/>
    <mergeCell ref="I118:J118"/>
    <mergeCell ref="K118:L118"/>
    <mergeCell ref="B115:B121"/>
    <mergeCell ref="C116:D116"/>
    <mergeCell ref="E116:F116"/>
    <mergeCell ref="G116:H116"/>
    <mergeCell ref="I116:J116"/>
    <mergeCell ref="K116:L116"/>
    <mergeCell ref="C117:D117"/>
    <mergeCell ref="E117:F117"/>
    <mergeCell ref="G117:H117"/>
    <mergeCell ref="I117:J117"/>
    <mergeCell ref="C125:D125"/>
    <mergeCell ref="E125:F125"/>
    <mergeCell ref="G125:H125"/>
    <mergeCell ref="I125:J125"/>
    <mergeCell ref="K125:L125"/>
    <mergeCell ref="E114:F114"/>
    <mergeCell ref="G114:H114"/>
    <mergeCell ref="I114:J114"/>
    <mergeCell ref="K114:L114"/>
    <mergeCell ref="C111:D111"/>
    <mergeCell ref="E111:F111"/>
    <mergeCell ref="G111:H111"/>
    <mergeCell ref="I111:J111"/>
    <mergeCell ref="K111:L111"/>
    <mergeCell ref="C112:D112"/>
    <mergeCell ref="E112:F112"/>
    <mergeCell ref="G112:H112"/>
    <mergeCell ref="I112:J112"/>
    <mergeCell ref="K112:L112"/>
    <mergeCell ref="B122:B128"/>
    <mergeCell ref="C123:D123"/>
    <mergeCell ref="E123:F123"/>
    <mergeCell ref="G123:H123"/>
    <mergeCell ref="I123:J123"/>
    <mergeCell ref="C119:D119"/>
    <mergeCell ref="E119:F119"/>
    <mergeCell ref="G119:H119"/>
    <mergeCell ref="I119:J119"/>
    <mergeCell ref="K119:L119"/>
    <mergeCell ref="C120:D120"/>
    <mergeCell ref="E120:F120"/>
    <mergeCell ref="G120:H120"/>
    <mergeCell ref="I120:J120"/>
    <mergeCell ref="K120:L120"/>
    <mergeCell ref="K117:L117"/>
    <mergeCell ref="C118:D118"/>
    <mergeCell ref="E118:F118"/>
    <mergeCell ref="K109:L109"/>
    <mergeCell ref="C110:D110"/>
    <mergeCell ref="E110:F110"/>
    <mergeCell ref="G110:H110"/>
    <mergeCell ref="I110:J110"/>
    <mergeCell ref="K110:L110"/>
    <mergeCell ref="C107:D107"/>
    <mergeCell ref="E107:F107"/>
    <mergeCell ref="G107:H107"/>
    <mergeCell ref="I107:J107"/>
    <mergeCell ref="K107:L107"/>
    <mergeCell ref="B108:B114"/>
    <mergeCell ref="C109:D109"/>
    <mergeCell ref="E109:F109"/>
    <mergeCell ref="G109:H109"/>
    <mergeCell ref="I109:J109"/>
    <mergeCell ref="C105:D105"/>
    <mergeCell ref="E105:F105"/>
    <mergeCell ref="G105:H105"/>
    <mergeCell ref="I105:J105"/>
    <mergeCell ref="K105:L105"/>
    <mergeCell ref="C106:D106"/>
    <mergeCell ref="E106:F106"/>
    <mergeCell ref="G106:H106"/>
    <mergeCell ref="I106:J106"/>
    <mergeCell ref="K106:L106"/>
    <mergeCell ref="C113:D113"/>
    <mergeCell ref="E113:F113"/>
    <mergeCell ref="G113:H113"/>
    <mergeCell ref="I113:J113"/>
    <mergeCell ref="K113:L113"/>
    <mergeCell ref="C114:D114"/>
    <mergeCell ref="K103:L103"/>
    <mergeCell ref="C104:D104"/>
    <mergeCell ref="E104:F104"/>
    <mergeCell ref="G104:H104"/>
    <mergeCell ref="I104:J104"/>
    <mergeCell ref="K104:L104"/>
    <mergeCell ref="B101:B107"/>
    <mergeCell ref="C102:D102"/>
    <mergeCell ref="E102:F102"/>
    <mergeCell ref="G102:H102"/>
    <mergeCell ref="I102:J102"/>
    <mergeCell ref="K102:L102"/>
    <mergeCell ref="C103:D103"/>
    <mergeCell ref="E103:F103"/>
    <mergeCell ref="G103:H103"/>
    <mergeCell ref="I103:J103"/>
    <mergeCell ref="C99:D99"/>
    <mergeCell ref="E99:F99"/>
    <mergeCell ref="G99:H99"/>
    <mergeCell ref="I99:J99"/>
    <mergeCell ref="K99:L99"/>
    <mergeCell ref="C100:D100"/>
    <mergeCell ref="E100:F100"/>
    <mergeCell ref="G100:H100"/>
    <mergeCell ref="I100:J100"/>
    <mergeCell ref="K100:L100"/>
    <mergeCell ref="B94:B100"/>
    <mergeCell ref="C97:D97"/>
    <mergeCell ref="E97:F97"/>
    <mergeCell ref="G97:H97"/>
    <mergeCell ref="I97:J97"/>
    <mergeCell ref="K97:L97"/>
    <mergeCell ref="C98:D98"/>
    <mergeCell ref="E98:F98"/>
    <mergeCell ref="G98:H98"/>
    <mergeCell ref="I98:J98"/>
    <mergeCell ref="K98:L98"/>
    <mergeCell ref="K95:L95"/>
    <mergeCell ref="C96:D96"/>
    <mergeCell ref="E96:F96"/>
    <mergeCell ref="G96:H96"/>
    <mergeCell ref="I96:J96"/>
    <mergeCell ref="K96:L96"/>
    <mergeCell ref="C93:D93"/>
    <mergeCell ref="E93:F93"/>
    <mergeCell ref="G93:H93"/>
    <mergeCell ref="I93:J93"/>
    <mergeCell ref="K93:L93"/>
    <mergeCell ref="C95:D95"/>
    <mergeCell ref="E95:F95"/>
    <mergeCell ref="G95:H95"/>
    <mergeCell ref="I95:J95"/>
    <mergeCell ref="C92:D92"/>
    <mergeCell ref="E92:F92"/>
    <mergeCell ref="G92:H92"/>
    <mergeCell ref="I92:J92"/>
    <mergeCell ref="K92:L92"/>
    <mergeCell ref="K89:L89"/>
    <mergeCell ref="C90:D90"/>
    <mergeCell ref="E90:F90"/>
    <mergeCell ref="G90:H90"/>
    <mergeCell ref="I90:J90"/>
    <mergeCell ref="K90:L90"/>
    <mergeCell ref="B87:B93"/>
    <mergeCell ref="C88:D88"/>
    <mergeCell ref="E88:F88"/>
    <mergeCell ref="G88:H88"/>
    <mergeCell ref="I88:J88"/>
    <mergeCell ref="K88:L88"/>
    <mergeCell ref="C89:D89"/>
    <mergeCell ref="E89:F89"/>
    <mergeCell ref="G89:H89"/>
    <mergeCell ref="I89:J89"/>
    <mergeCell ref="E86:F86"/>
    <mergeCell ref="G86:H86"/>
    <mergeCell ref="I86:J86"/>
    <mergeCell ref="K86:L86"/>
    <mergeCell ref="C83:D83"/>
    <mergeCell ref="E83:F83"/>
    <mergeCell ref="G83:H83"/>
    <mergeCell ref="I83:J83"/>
    <mergeCell ref="K83:L83"/>
    <mergeCell ref="C84:D84"/>
    <mergeCell ref="E84:F84"/>
    <mergeCell ref="G84:H84"/>
    <mergeCell ref="I84:J84"/>
    <mergeCell ref="K84:L84"/>
    <mergeCell ref="C91:D91"/>
    <mergeCell ref="E91:F91"/>
    <mergeCell ref="G91:H91"/>
    <mergeCell ref="I91:J91"/>
    <mergeCell ref="K91:L91"/>
    <mergeCell ref="K81:L81"/>
    <mergeCell ref="C82:D82"/>
    <mergeCell ref="E82:F82"/>
    <mergeCell ref="G82:H82"/>
    <mergeCell ref="I82:J82"/>
    <mergeCell ref="K82:L82"/>
    <mergeCell ref="C79:D79"/>
    <mergeCell ref="E79:F79"/>
    <mergeCell ref="G79:H79"/>
    <mergeCell ref="I79:J79"/>
    <mergeCell ref="K79:L79"/>
    <mergeCell ref="B80:B86"/>
    <mergeCell ref="C81:D81"/>
    <mergeCell ref="E81:F81"/>
    <mergeCell ref="G81:H81"/>
    <mergeCell ref="I81:J81"/>
    <mergeCell ref="C77:D77"/>
    <mergeCell ref="E77:F77"/>
    <mergeCell ref="G77:H77"/>
    <mergeCell ref="I77:J77"/>
    <mergeCell ref="K77:L77"/>
    <mergeCell ref="C78:D78"/>
    <mergeCell ref="E78:F78"/>
    <mergeCell ref="G78:H78"/>
    <mergeCell ref="I78:J78"/>
    <mergeCell ref="K78:L78"/>
    <mergeCell ref="C85:D85"/>
    <mergeCell ref="E85:F85"/>
    <mergeCell ref="G85:H85"/>
    <mergeCell ref="I85:J85"/>
    <mergeCell ref="K85:L85"/>
    <mergeCell ref="C86:D86"/>
    <mergeCell ref="K75:L75"/>
    <mergeCell ref="C76:D76"/>
    <mergeCell ref="E76:F76"/>
    <mergeCell ref="G76:H76"/>
    <mergeCell ref="I76:J76"/>
    <mergeCell ref="K76:L76"/>
    <mergeCell ref="B73:B79"/>
    <mergeCell ref="C74:D74"/>
    <mergeCell ref="E74:F74"/>
    <mergeCell ref="G74:H74"/>
    <mergeCell ref="I74:J74"/>
    <mergeCell ref="K74:L74"/>
    <mergeCell ref="C75:D75"/>
    <mergeCell ref="E75:F75"/>
    <mergeCell ref="G75:H75"/>
    <mergeCell ref="I75:J75"/>
    <mergeCell ref="C71:D71"/>
    <mergeCell ref="E71:F71"/>
    <mergeCell ref="G71:H71"/>
    <mergeCell ref="I71:J71"/>
    <mergeCell ref="K71:L71"/>
    <mergeCell ref="C72:D72"/>
    <mergeCell ref="E72:F72"/>
    <mergeCell ref="G72:H72"/>
    <mergeCell ref="I72:J72"/>
    <mergeCell ref="K72:L72"/>
    <mergeCell ref="B66:B72"/>
    <mergeCell ref="C69:D69"/>
    <mergeCell ref="E69:F69"/>
    <mergeCell ref="G69:H69"/>
    <mergeCell ref="I69:J69"/>
    <mergeCell ref="K69:L69"/>
    <mergeCell ref="C70:D70"/>
    <mergeCell ref="E70:F70"/>
    <mergeCell ref="G70:H70"/>
    <mergeCell ref="I70:J70"/>
    <mergeCell ref="K70:L70"/>
    <mergeCell ref="K67:L67"/>
    <mergeCell ref="C68:D68"/>
    <mergeCell ref="E68:F68"/>
    <mergeCell ref="G68:H68"/>
    <mergeCell ref="I68:J68"/>
    <mergeCell ref="K68:L68"/>
    <mergeCell ref="C65:D65"/>
    <mergeCell ref="E65:F65"/>
    <mergeCell ref="G65:H65"/>
    <mergeCell ref="I65:J65"/>
    <mergeCell ref="K65:L65"/>
    <mergeCell ref="C67:D67"/>
    <mergeCell ref="E67:F67"/>
    <mergeCell ref="G67:H67"/>
    <mergeCell ref="I67:J67"/>
    <mergeCell ref="C64:D64"/>
    <mergeCell ref="E64:F64"/>
    <mergeCell ref="G64:H64"/>
    <mergeCell ref="I64:J64"/>
    <mergeCell ref="K64:L64"/>
    <mergeCell ref="K61:L61"/>
    <mergeCell ref="C62:D62"/>
    <mergeCell ref="E62:F62"/>
    <mergeCell ref="G62:H62"/>
    <mergeCell ref="I62:J62"/>
    <mergeCell ref="K62:L62"/>
    <mergeCell ref="B59:B65"/>
    <mergeCell ref="C60:D60"/>
    <mergeCell ref="E60:F60"/>
    <mergeCell ref="G60:H60"/>
    <mergeCell ref="I60:J60"/>
    <mergeCell ref="K60:L60"/>
    <mergeCell ref="C61:D61"/>
    <mergeCell ref="E61:F61"/>
    <mergeCell ref="G61:H61"/>
    <mergeCell ref="I61:J61"/>
    <mergeCell ref="E58:F58"/>
    <mergeCell ref="G58:H58"/>
    <mergeCell ref="I58:J58"/>
    <mergeCell ref="K58:L58"/>
    <mergeCell ref="C55:D55"/>
    <mergeCell ref="E55:F55"/>
    <mergeCell ref="G55:H55"/>
    <mergeCell ref="I55:J55"/>
    <mergeCell ref="K55:L55"/>
    <mergeCell ref="C56:D56"/>
    <mergeCell ref="E56:F56"/>
    <mergeCell ref="G56:H56"/>
    <mergeCell ref="I56:J56"/>
    <mergeCell ref="K56:L56"/>
    <mergeCell ref="C63:D63"/>
    <mergeCell ref="E63:F63"/>
    <mergeCell ref="G63:H63"/>
    <mergeCell ref="I63:J63"/>
    <mergeCell ref="K63:L63"/>
    <mergeCell ref="K53:L53"/>
    <mergeCell ref="C54:D54"/>
    <mergeCell ref="E54:F54"/>
    <mergeCell ref="G54:H54"/>
    <mergeCell ref="I54:J54"/>
    <mergeCell ref="K54:L54"/>
    <mergeCell ref="C51:D51"/>
    <mergeCell ref="E51:F51"/>
    <mergeCell ref="G51:H51"/>
    <mergeCell ref="I51:J51"/>
    <mergeCell ref="K51:L51"/>
    <mergeCell ref="B52:B58"/>
    <mergeCell ref="C53:D53"/>
    <mergeCell ref="E53:F53"/>
    <mergeCell ref="G53:H53"/>
    <mergeCell ref="I53:J53"/>
    <mergeCell ref="C49:D49"/>
    <mergeCell ref="E49:F49"/>
    <mergeCell ref="G49:H49"/>
    <mergeCell ref="I49:J49"/>
    <mergeCell ref="K49:L49"/>
    <mergeCell ref="C50:D50"/>
    <mergeCell ref="E50:F50"/>
    <mergeCell ref="G50:H50"/>
    <mergeCell ref="I50:J50"/>
    <mergeCell ref="K50:L50"/>
    <mergeCell ref="C57:D57"/>
    <mergeCell ref="E57:F57"/>
    <mergeCell ref="G57:H57"/>
    <mergeCell ref="I57:J57"/>
    <mergeCell ref="K57:L57"/>
    <mergeCell ref="C58:D58"/>
    <mergeCell ref="K47:L47"/>
    <mergeCell ref="C48:D48"/>
    <mergeCell ref="E48:F48"/>
    <mergeCell ref="G48:H48"/>
    <mergeCell ref="I48:J48"/>
    <mergeCell ref="K48:L48"/>
    <mergeCell ref="B45:B51"/>
    <mergeCell ref="C46:D46"/>
    <mergeCell ref="E46:F46"/>
    <mergeCell ref="G46:H46"/>
    <mergeCell ref="I46:J46"/>
    <mergeCell ref="K46:L46"/>
    <mergeCell ref="C47:D47"/>
    <mergeCell ref="E47:F47"/>
    <mergeCell ref="G47:H47"/>
    <mergeCell ref="I47:J47"/>
    <mergeCell ref="C43:D43"/>
    <mergeCell ref="E43:F43"/>
    <mergeCell ref="G43:H43"/>
    <mergeCell ref="I43:J43"/>
    <mergeCell ref="K43:L43"/>
    <mergeCell ref="C44:D44"/>
    <mergeCell ref="E44:F44"/>
    <mergeCell ref="G44:H44"/>
    <mergeCell ref="I44:J44"/>
    <mergeCell ref="K44:L44"/>
    <mergeCell ref="B38:B44"/>
    <mergeCell ref="C41:D41"/>
    <mergeCell ref="E41:F41"/>
    <mergeCell ref="G41:H41"/>
    <mergeCell ref="I41:J41"/>
    <mergeCell ref="K41:L41"/>
    <mergeCell ref="C42:D42"/>
    <mergeCell ref="E42:F42"/>
    <mergeCell ref="G42:H42"/>
    <mergeCell ref="I42:J42"/>
    <mergeCell ref="K42:L42"/>
    <mergeCell ref="K39:L39"/>
    <mergeCell ref="C40:D40"/>
    <mergeCell ref="E40:F40"/>
    <mergeCell ref="G40:H40"/>
    <mergeCell ref="I40:J40"/>
    <mergeCell ref="K40:L40"/>
    <mergeCell ref="C37:D37"/>
    <mergeCell ref="E37:F37"/>
    <mergeCell ref="G37:H37"/>
    <mergeCell ref="I37:J37"/>
    <mergeCell ref="K37:L37"/>
    <mergeCell ref="C39:D39"/>
    <mergeCell ref="E39:F39"/>
    <mergeCell ref="G39:H39"/>
    <mergeCell ref="I39:J39"/>
    <mergeCell ref="C35:D35"/>
    <mergeCell ref="E35:F35"/>
    <mergeCell ref="G35:H35"/>
    <mergeCell ref="I35:J35"/>
    <mergeCell ref="K35:L35"/>
    <mergeCell ref="C36:D36"/>
    <mergeCell ref="E36:F36"/>
    <mergeCell ref="G36:H36"/>
    <mergeCell ref="I36:J36"/>
    <mergeCell ref="K36:L36"/>
    <mergeCell ref="K33:L33"/>
    <mergeCell ref="C34:D34"/>
    <mergeCell ref="E34:F34"/>
    <mergeCell ref="G34:H34"/>
    <mergeCell ref="I34:J34"/>
    <mergeCell ref="K34:L34"/>
    <mergeCell ref="B31:B37"/>
    <mergeCell ref="C32:D32"/>
    <mergeCell ref="E32:F32"/>
    <mergeCell ref="G32:H32"/>
    <mergeCell ref="I32:J32"/>
    <mergeCell ref="K32:L32"/>
    <mergeCell ref="C33:D33"/>
    <mergeCell ref="E33:F33"/>
    <mergeCell ref="G33:H33"/>
    <mergeCell ref="I33:J33"/>
    <mergeCell ref="C29:D29"/>
    <mergeCell ref="E29:F29"/>
    <mergeCell ref="G29:H29"/>
    <mergeCell ref="I29:J29"/>
    <mergeCell ref="K29:L29"/>
    <mergeCell ref="C30:D30"/>
    <mergeCell ref="E30:F30"/>
    <mergeCell ref="G30:H30"/>
    <mergeCell ref="I30:J30"/>
    <mergeCell ref="K30:L30"/>
    <mergeCell ref="C27:D27"/>
    <mergeCell ref="E27:F27"/>
    <mergeCell ref="G27:H27"/>
    <mergeCell ref="I27:J27"/>
    <mergeCell ref="K27:L27"/>
    <mergeCell ref="C28:D28"/>
    <mergeCell ref="E28:F28"/>
    <mergeCell ref="G28:H28"/>
    <mergeCell ref="I28:J28"/>
    <mergeCell ref="K28:L28"/>
    <mergeCell ref="C25:D25"/>
    <mergeCell ref="E25:F25"/>
    <mergeCell ref="G25:H25"/>
    <mergeCell ref="I25:J25"/>
    <mergeCell ref="K25:L25"/>
    <mergeCell ref="C26:D26"/>
    <mergeCell ref="E26:F26"/>
    <mergeCell ref="G26:H26"/>
    <mergeCell ref="I26:J26"/>
    <mergeCell ref="K26:L26"/>
    <mergeCell ref="C22:D22"/>
    <mergeCell ref="E22:F22"/>
    <mergeCell ref="G22:H22"/>
    <mergeCell ref="I22:J22"/>
    <mergeCell ref="K22:L22"/>
    <mergeCell ref="C23:D23"/>
    <mergeCell ref="E23:F23"/>
    <mergeCell ref="G23:H23"/>
    <mergeCell ref="I23:J23"/>
    <mergeCell ref="K23:L23"/>
    <mergeCell ref="C20:D20"/>
    <mergeCell ref="E20:F20"/>
    <mergeCell ref="G20:H20"/>
    <mergeCell ref="I20:J20"/>
    <mergeCell ref="K20:L20"/>
    <mergeCell ref="C21:D21"/>
    <mergeCell ref="E21:F21"/>
    <mergeCell ref="G21:H21"/>
    <mergeCell ref="I21:J21"/>
    <mergeCell ref="K21:L21"/>
    <mergeCell ref="C18:D18"/>
    <mergeCell ref="E18:F18"/>
    <mergeCell ref="G18:H18"/>
    <mergeCell ref="I18:J18"/>
    <mergeCell ref="K18:L18"/>
    <mergeCell ref="C19:D19"/>
    <mergeCell ref="E19:F19"/>
    <mergeCell ref="G19:H19"/>
    <mergeCell ref="I19:J19"/>
    <mergeCell ref="K19:L19"/>
    <mergeCell ref="C15:D15"/>
    <mergeCell ref="E15:F15"/>
    <mergeCell ref="G15:H15"/>
    <mergeCell ref="I15:J15"/>
    <mergeCell ref="K15:L15"/>
    <mergeCell ref="C16:D16"/>
    <mergeCell ref="E16:F16"/>
    <mergeCell ref="G16:H16"/>
    <mergeCell ref="I16:J16"/>
    <mergeCell ref="K16:L16"/>
    <mergeCell ref="C13:D13"/>
    <mergeCell ref="E13:F13"/>
    <mergeCell ref="I13:J13"/>
    <mergeCell ref="K13:L13"/>
    <mergeCell ref="C14:D14"/>
    <mergeCell ref="E14:F14"/>
    <mergeCell ref="G14:H14"/>
    <mergeCell ref="I14:J14"/>
    <mergeCell ref="K14:L14"/>
    <mergeCell ref="C11:D11"/>
    <mergeCell ref="E11:F11"/>
    <mergeCell ref="G11:H11"/>
    <mergeCell ref="I11:J11"/>
    <mergeCell ref="K11:L11"/>
    <mergeCell ref="C12:D12"/>
    <mergeCell ref="E12:F12"/>
    <mergeCell ref="G12:H13"/>
    <mergeCell ref="I12:J12"/>
    <mergeCell ref="K12:L12"/>
    <mergeCell ref="C8:D8"/>
    <mergeCell ref="E8:F8"/>
    <mergeCell ref="G8:H8"/>
    <mergeCell ref="I8:J8"/>
    <mergeCell ref="K8:L8"/>
    <mergeCell ref="C9:D9"/>
    <mergeCell ref="E9:F9"/>
    <mergeCell ref="G9:H9"/>
    <mergeCell ref="I9:J9"/>
    <mergeCell ref="K9:L9"/>
    <mergeCell ref="C6:D6"/>
    <mergeCell ref="E6:F6"/>
    <mergeCell ref="G6:H6"/>
    <mergeCell ref="I6:J6"/>
    <mergeCell ref="K6:L6"/>
    <mergeCell ref="C7:D7"/>
    <mergeCell ref="E7:F7"/>
    <mergeCell ref="G7:H7"/>
    <mergeCell ref="I7:J7"/>
    <mergeCell ref="K7:L7"/>
    <mergeCell ref="C4:D4"/>
    <mergeCell ref="E4:F4"/>
    <mergeCell ref="G4:H4"/>
    <mergeCell ref="I4:J4"/>
    <mergeCell ref="K4:L4"/>
    <mergeCell ref="C5:D5"/>
    <mergeCell ref="E5:F5"/>
    <mergeCell ref="G5:H5"/>
    <mergeCell ref="I5:J5"/>
    <mergeCell ref="K5:L5"/>
    <mergeCell ref="B1445:B1451"/>
    <mergeCell ref="C1446:D1446"/>
    <mergeCell ref="E1446:F1446"/>
    <mergeCell ref="G1446:H1446"/>
    <mergeCell ref="C1450:D1450"/>
    <mergeCell ref="B1466:B1472"/>
    <mergeCell ref="C1467:D1467"/>
    <mergeCell ref="E1467:F1467"/>
    <mergeCell ref="G1467:H1467"/>
    <mergeCell ref="D1790:F1790"/>
    <mergeCell ref="D1792:F1792"/>
    <mergeCell ref="F1787:G1787"/>
    <mergeCell ref="F1776:G1776"/>
    <mergeCell ref="F1777:G1777"/>
    <mergeCell ref="G1422:H1422"/>
    <mergeCell ref="C1434:D1434"/>
    <mergeCell ref="E1434:F1434"/>
    <mergeCell ref="G1434:H1434"/>
    <mergeCell ref="E1430:F1430"/>
    <mergeCell ref="C1428:D1428"/>
    <mergeCell ref="E1428:F1428"/>
    <mergeCell ref="G1428:H1428"/>
    <mergeCell ref="C1426:D1426"/>
    <mergeCell ref="E1426:F1426"/>
    <mergeCell ref="G1426:H1426"/>
    <mergeCell ref="C1442:D1442"/>
    <mergeCell ref="E1442:F1442"/>
    <mergeCell ref="G1442:H1442"/>
    <mergeCell ref="C1448:D1448"/>
    <mergeCell ref="E1448:F1448"/>
    <mergeCell ref="G1448:H1448"/>
    <mergeCell ref="C1456:D1456"/>
    <mergeCell ref="A1:B1"/>
    <mergeCell ref="D1793:F1793"/>
    <mergeCell ref="D1794:F1794"/>
    <mergeCell ref="D1795:F1795"/>
    <mergeCell ref="D1796:F1796"/>
    <mergeCell ref="D1797:F1797"/>
    <mergeCell ref="F1781:G1781"/>
    <mergeCell ref="F1782:G1782"/>
    <mergeCell ref="F1783:G1783"/>
    <mergeCell ref="F1784:G1784"/>
    <mergeCell ref="C1421:D1421"/>
    <mergeCell ref="E1421:F1421"/>
    <mergeCell ref="G1421:H1421"/>
    <mergeCell ref="I1421:J1421"/>
    <mergeCell ref="K1421:L1421"/>
    <mergeCell ref="C1422:D1422"/>
    <mergeCell ref="E1422:F1422"/>
    <mergeCell ref="K1415:L1415"/>
    <mergeCell ref="C1416:D1416"/>
    <mergeCell ref="E1416:F1416"/>
    <mergeCell ref="G1416:H1416"/>
    <mergeCell ref="I1416:J1416"/>
    <mergeCell ref="K1416:L1416"/>
    <mergeCell ref="D1774:F1774"/>
    <mergeCell ref="C1414:D1414"/>
    <mergeCell ref="E1414:F1414"/>
    <mergeCell ref="G1414:H1414"/>
    <mergeCell ref="I1414:J1414"/>
    <mergeCell ref="K1414:L1414"/>
    <mergeCell ref="C1415:D1415"/>
    <mergeCell ref="E1415:F1415"/>
    <mergeCell ref="G1415:H1415"/>
    <mergeCell ref="C1413:D1413"/>
    <mergeCell ref="E1413:F1413"/>
    <mergeCell ref="G1413:H1413"/>
    <mergeCell ref="I1413:J1413"/>
    <mergeCell ref="K1413:L1413"/>
    <mergeCell ref="I1423:J1423"/>
    <mergeCell ref="K1423:L1423"/>
    <mergeCell ref="C1412:D1412"/>
    <mergeCell ref="E1412:F1412"/>
    <mergeCell ref="C1429:D1429"/>
    <mergeCell ref="E1429:F1429"/>
    <mergeCell ref="G1429:H1429"/>
    <mergeCell ref="I1429:J1429"/>
    <mergeCell ref="K1429:L1429"/>
    <mergeCell ref="C1427:D1427"/>
    <mergeCell ref="E1427:F1427"/>
    <mergeCell ref="G1427:H1427"/>
    <mergeCell ref="G1419:H1419"/>
    <mergeCell ref="I1419:J1419"/>
    <mergeCell ref="K1419:L1419"/>
    <mergeCell ref="C1420:D1420"/>
    <mergeCell ref="E1420:F1420"/>
    <mergeCell ref="G1420:H1420"/>
    <mergeCell ref="I1420:J1420"/>
    <mergeCell ref="K1420:L1420"/>
    <mergeCell ref="I1426:J1426"/>
    <mergeCell ref="K1426:L1426"/>
    <mergeCell ref="C1425:D1425"/>
    <mergeCell ref="I1422:J1422"/>
    <mergeCell ref="E1425:F1425"/>
    <mergeCell ref="G1425:H1425"/>
    <mergeCell ref="I1425:J1425"/>
    <mergeCell ref="D1798:F1798"/>
    <mergeCell ref="D1799:F1799"/>
    <mergeCell ref="D1800:F1800"/>
    <mergeCell ref="D1801:F1801"/>
    <mergeCell ref="D1789:F1789"/>
    <mergeCell ref="F1778:G1778"/>
    <mergeCell ref="F1779:G1779"/>
    <mergeCell ref="F1780:G1780"/>
    <mergeCell ref="F1785:G1785"/>
    <mergeCell ref="F1786:G1786"/>
    <mergeCell ref="C1430:D1430"/>
    <mergeCell ref="G1430:H1430"/>
    <mergeCell ref="E1436:F1436"/>
    <mergeCell ref="G1436:H1436"/>
    <mergeCell ref="I1436:J1436"/>
    <mergeCell ref="K1436:L1436"/>
    <mergeCell ref="C1435:D1435"/>
    <mergeCell ref="E1435:F1435"/>
    <mergeCell ref="G1435:H1435"/>
    <mergeCell ref="I1435:J1435"/>
    <mergeCell ref="G1455:H1455"/>
    <mergeCell ref="I1455:J1455"/>
    <mergeCell ref="K1455:L1455"/>
    <mergeCell ref="I1448:J1448"/>
    <mergeCell ref="K1448:L1448"/>
    <mergeCell ref="C1449:D1449"/>
    <mergeCell ref="E1449:F1449"/>
    <mergeCell ref="I1434:J1434"/>
    <mergeCell ref="K1434:L1434"/>
    <mergeCell ref="G1449:H1449"/>
    <mergeCell ref="I1449:J1449"/>
    <mergeCell ref="K1449:L1449"/>
    <mergeCell ref="B1438:B1444"/>
    <mergeCell ref="C1439:D1439"/>
    <mergeCell ref="E1439:F1439"/>
    <mergeCell ref="G1439:H1439"/>
    <mergeCell ref="I1439:J1439"/>
    <mergeCell ref="C1443:D1443"/>
    <mergeCell ref="E1443:F1443"/>
    <mergeCell ref="G1443:H1443"/>
    <mergeCell ref="I1443:J1443"/>
    <mergeCell ref="K1443:L1443"/>
    <mergeCell ref="C1444:D1444"/>
    <mergeCell ref="E1444:F1444"/>
    <mergeCell ref="G1444:H1444"/>
    <mergeCell ref="I1444:J1444"/>
    <mergeCell ref="K1444:L1444"/>
    <mergeCell ref="I1442:J1442"/>
    <mergeCell ref="K1442:L1442"/>
    <mergeCell ref="C1441:D1441"/>
    <mergeCell ref="E1441:F1441"/>
    <mergeCell ref="G1441:H1441"/>
    <mergeCell ref="I1441:J1441"/>
    <mergeCell ref="K1441:L1441"/>
    <mergeCell ref="K1439:L1439"/>
    <mergeCell ref="C1440:D1440"/>
    <mergeCell ref="E1440:F1440"/>
    <mergeCell ref="G1440:H1440"/>
    <mergeCell ref="I1440:J1440"/>
    <mergeCell ref="K1440:L1440"/>
    <mergeCell ref="B1431:B1437"/>
    <mergeCell ref="C1418:D1418"/>
    <mergeCell ref="E1418:F1418"/>
    <mergeCell ref="G1418:H1418"/>
    <mergeCell ref="I1418:J1418"/>
    <mergeCell ref="K1418:L1418"/>
    <mergeCell ref="I1430:J1430"/>
    <mergeCell ref="K1430:L1430"/>
    <mergeCell ref="B1417:B1423"/>
    <mergeCell ref="C1432:D1432"/>
    <mergeCell ref="E1432:F1432"/>
    <mergeCell ref="G1432:H1432"/>
    <mergeCell ref="I1432:J1432"/>
    <mergeCell ref="K1432:L1432"/>
    <mergeCell ref="C1419:D1419"/>
    <mergeCell ref="E1419:F1419"/>
    <mergeCell ref="K1435:L1435"/>
    <mergeCell ref="C1436:D1436"/>
    <mergeCell ref="C1437:D1437"/>
    <mergeCell ref="E1437:F1437"/>
    <mergeCell ref="G1437:H1437"/>
    <mergeCell ref="I1437:J1437"/>
    <mergeCell ref="K1437:L1437"/>
    <mergeCell ref="K1422:L1422"/>
    <mergeCell ref="C1423:D1423"/>
    <mergeCell ref="E1423:F1423"/>
    <mergeCell ref="G1423:H1423"/>
    <mergeCell ref="C1433:D1433"/>
    <mergeCell ref="E1433:F1433"/>
    <mergeCell ref="G1433:H1433"/>
    <mergeCell ref="I1433:J1433"/>
    <mergeCell ref="K1433:L1433"/>
    <mergeCell ref="I1446:J1446"/>
    <mergeCell ref="K1446:L1446"/>
    <mergeCell ref="C1447:D1447"/>
    <mergeCell ref="E1447:F1447"/>
    <mergeCell ref="G1447:H1447"/>
    <mergeCell ref="I1447:J1447"/>
    <mergeCell ref="K1447:L1447"/>
    <mergeCell ref="E1450:F1450"/>
    <mergeCell ref="G1450:H1450"/>
    <mergeCell ref="I1450:J1450"/>
    <mergeCell ref="K1450:L1450"/>
    <mergeCell ref="C1461:D1461"/>
    <mergeCell ref="E1461:F1461"/>
    <mergeCell ref="G1461:H1461"/>
    <mergeCell ref="I1461:J1461"/>
    <mergeCell ref="K1461:L1461"/>
    <mergeCell ref="C1454:D1454"/>
    <mergeCell ref="E1454:F1454"/>
    <mergeCell ref="G1454:H1454"/>
    <mergeCell ref="I1454:J1454"/>
    <mergeCell ref="K1454:L1454"/>
    <mergeCell ref="C1455:D1455"/>
    <mergeCell ref="C1462:D1462"/>
    <mergeCell ref="E1462:F1462"/>
    <mergeCell ref="G1462:H1462"/>
    <mergeCell ref="I1462:J1462"/>
    <mergeCell ref="K1462:L1462"/>
    <mergeCell ref="C1458:D1458"/>
    <mergeCell ref="E1458:F1458"/>
    <mergeCell ref="G1458:H1458"/>
    <mergeCell ref="E1456:F1456"/>
    <mergeCell ref="G1456:H1456"/>
    <mergeCell ref="I1456:J1456"/>
    <mergeCell ref="K1456:L1456"/>
    <mergeCell ref="C1457:D1457"/>
    <mergeCell ref="E1457:F1457"/>
    <mergeCell ref="G1457:H1457"/>
    <mergeCell ref="I1457:J1457"/>
    <mergeCell ref="K1457:L1457"/>
    <mergeCell ref="I1458:J1458"/>
    <mergeCell ref="K1458:L1458"/>
    <mergeCell ref="C1460:D1460"/>
    <mergeCell ref="E1460:F1460"/>
    <mergeCell ref="G1460:H1460"/>
    <mergeCell ref="I1460:J1460"/>
    <mergeCell ref="K1460:L1460"/>
    <mergeCell ref="K1467:L1467"/>
    <mergeCell ref="C1468:D1468"/>
    <mergeCell ref="E1468:F1468"/>
    <mergeCell ref="G1468:H1468"/>
    <mergeCell ref="I1468:J1468"/>
    <mergeCell ref="K1468:L1468"/>
    <mergeCell ref="C1463:D1463"/>
    <mergeCell ref="E1463:F1463"/>
    <mergeCell ref="G1463:H1463"/>
    <mergeCell ref="I1464:J1464"/>
    <mergeCell ref="K1464:L1464"/>
    <mergeCell ref="C1465:D1465"/>
    <mergeCell ref="E1465:F1465"/>
    <mergeCell ref="I1463:J1463"/>
    <mergeCell ref="K1463:L1463"/>
    <mergeCell ref="C1464:D1464"/>
    <mergeCell ref="C1451:D1451"/>
    <mergeCell ref="E1451:F1451"/>
    <mergeCell ref="G1451:H1451"/>
    <mergeCell ref="I1451:J1451"/>
    <mergeCell ref="K1451:L1451"/>
    <mergeCell ref="C1453:D1453"/>
    <mergeCell ref="E1453:F1453"/>
    <mergeCell ref="G1453:H1453"/>
    <mergeCell ref="I1453:J1453"/>
    <mergeCell ref="K1453:L1453"/>
    <mergeCell ref="E1464:F1464"/>
    <mergeCell ref="G1464:H1464"/>
    <mergeCell ref="G1465:H1465"/>
    <mergeCell ref="I1465:J1465"/>
    <mergeCell ref="K1465:L1465"/>
    <mergeCell ref="E1455:F1455"/>
    <mergeCell ref="E1478:F1478"/>
    <mergeCell ref="G1478:H1478"/>
    <mergeCell ref="I1478:J1478"/>
    <mergeCell ref="K1478:L1478"/>
    <mergeCell ref="C1470:D1470"/>
    <mergeCell ref="E1477:F1477"/>
    <mergeCell ref="E1470:F1470"/>
    <mergeCell ref="G1470:H1470"/>
    <mergeCell ref="I1470:J1470"/>
    <mergeCell ref="K1470:L1470"/>
    <mergeCell ref="C1471:D1471"/>
    <mergeCell ref="E1471:F1471"/>
    <mergeCell ref="G1471:H1471"/>
    <mergeCell ref="I1471:J1471"/>
    <mergeCell ref="I1476:J1476"/>
    <mergeCell ref="K1476:L1476"/>
    <mergeCell ref="C1469:D1469"/>
    <mergeCell ref="E1469:F1469"/>
    <mergeCell ref="G1469:H1469"/>
    <mergeCell ref="I1469:J1469"/>
    <mergeCell ref="K1469:L1469"/>
    <mergeCell ref="G1477:H1477"/>
    <mergeCell ref="I1477:J1477"/>
    <mergeCell ref="K1477:L1477"/>
    <mergeCell ref="I1467:J1467"/>
    <mergeCell ref="C1486:D1486"/>
    <mergeCell ref="K1471:L1471"/>
    <mergeCell ref="C1472:D1472"/>
    <mergeCell ref="E1472:F1472"/>
    <mergeCell ref="G1472:H1472"/>
    <mergeCell ref="I1472:J1472"/>
    <mergeCell ref="K1472:L1472"/>
    <mergeCell ref="C1477:D1477"/>
    <mergeCell ref="C1478:D1478"/>
    <mergeCell ref="C1490:D1490"/>
    <mergeCell ref="E1490:F1490"/>
    <mergeCell ref="E1484:F1484"/>
    <mergeCell ref="G1484:H1484"/>
    <mergeCell ref="I1484:J1484"/>
    <mergeCell ref="K1484:L1484"/>
    <mergeCell ref="C1485:D1485"/>
    <mergeCell ref="E1485:F1485"/>
    <mergeCell ref="G1485:H1485"/>
    <mergeCell ref="I1485:J1485"/>
    <mergeCell ref="E1488:F1488"/>
    <mergeCell ref="G1488:H1488"/>
    <mergeCell ref="I1488:J1488"/>
    <mergeCell ref="K1488:L1488"/>
    <mergeCell ref="C1489:D1489"/>
    <mergeCell ref="E1489:F1489"/>
    <mergeCell ref="G1489:H1489"/>
    <mergeCell ref="I1489:J1489"/>
    <mergeCell ref="K1489:L1489"/>
    <mergeCell ref="C1476:D1476"/>
    <mergeCell ref="E1476:F1476"/>
    <mergeCell ref="G1476:H1476"/>
    <mergeCell ref="G1491:H1491"/>
    <mergeCell ref="I1491:J1491"/>
    <mergeCell ref="K1491:L1491"/>
    <mergeCell ref="C1488:D1488"/>
    <mergeCell ref="K1474:L1474"/>
    <mergeCell ref="C1475:D1475"/>
    <mergeCell ref="E1475:F1475"/>
    <mergeCell ref="G1475:H1475"/>
    <mergeCell ref="I1475:J1475"/>
    <mergeCell ref="K1475:L1475"/>
    <mergeCell ref="C1484:D1484"/>
    <mergeCell ref="E1486:F1486"/>
    <mergeCell ref="G1486:H1486"/>
    <mergeCell ref="I1486:J1486"/>
    <mergeCell ref="K1486:L1486"/>
    <mergeCell ref="B1473:B1479"/>
    <mergeCell ref="C1474:D1474"/>
    <mergeCell ref="E1474:F1474"/>
    <mergeCell ref="G1474:H1474"/>
    <mergeCell ref="I1474:J1474"/>
    <mergeCell ref="K1482:L1482"/>
    <mergeCell ref="C1483:D1483"/>
    <mergeCell ref="E1483:F1483"/>
    <mergeCell ref="G1483:H1483"/>
    <mergeCell ref="I1483:J1483"/>
    <mergeCell ref="K1483:L1483"/>
    <mergeCell ref="K1479:L1479"/>
    <mergeCell ref="C1481:D1481"/>
    <mergeCell ref="E1481:F1481"/>
    <mergeCell ref="G1481:H1481"/>
    <mergeCell ref="I1481:J1481"/>
    <mergeCell ref="K1485:L1485"/>
    <mergeCell ref="G1504:H1504"/>
    <mergeCell ref="I1504:J1504"/>
    <mergeCell ref="K1481:L1481"/>
    <mergeCell ref="C1493:D1493"/>
    <mergeCell ref="E1493:F1493"/>
    <mergeCell ref="C1479:D1479"/>
    <mergeCell ref="E1479:F1479"/>
    <mergeCell ref="G1479:H1479"/>
    <mergeCell ref="I1479:J1479"/>
    <mergeCell ref="C1482:D1482"/>
    <mergeCell ref="E1482:F1482"/>
    <mergeCell ref="G1482:H1482"/>
    <mergeCell ref="I1482:J1482"/>
    <mergeCell ref="C1499:D1499"/>
    <mergeCell ref="E1499:F1499"/>
    <mergeCell ref="G1499:H1499"/>
    <mergeCell ref="I1499:J1499"/>
    <mergeCell ref="K1499:L1499"/>
    <mergeCell ref="C1492:D1492"/>
    <mergeCell ref="E1492:F1492"/>
    <mergeCell ref="G1492:H1492"/>
    <mergeCell ref="I1492:J1492"/>
    <mergeCell ref="K1492:L1492"/>
    <mergeCell ref="G1497:H1497"/>
    <mergeCell ref="I1497:J1497"/>
    <mergeCell ref="K1497:L1497"/>
    <mergeCell ref="C1498:D1498"/>
    <mergeCell ref="E1498:F1498"/>
    <mergeCell ref="G1498:H1498"/>
    <mergeCell ref="I1498:J1498"/>
    <mergeCell ref="K1498:L1498"/>
    <mergeCell ref="E1491:F1491"/>
    <mergeCell ref="K1513:L1513"/>
    <mergeCell ref="C1510:D1510"/>
    <mergeCell ref="B1494:B1500"/>
    <mergeCell ref="C1495:D1495"/>
    <mergeCell ref="E1495:F1495"/>
    <mergeCell ref="G1495:H1495"/>
    <mergeCell ref="I1495:J1495"/>
    <mergeCell ref="K1495:L1495"/>
    <mergeCell ref="C1496:D1496"/>
    <mergeCell ref="E1496:F1496"/>
    <mergeCell ref="G1496:H1496"/>
    <mergeCell ref="I1496:J1496"/>
    <mergeCell ref="C1507:D1507"/>
    <mergeCell ref="G1490:H1490"/>
    <mergeCell ref="I1490:J1490"/>
    <mergeCell ref="K1490:L1490"/>
    <mergeCell ref="G1493:H1493"/>
    <mergeCell ref="I1493:J1493"/>
    <mergeCell ref="K1493:L1493"/>
    <mergeCell ref="K1496:L1496"/>
    <mergeCell ref="C1497:D1497"/>
    <mergeCell ref="E1497:F1497"/>
    <mergeCell ref="I1505:J1505"/>
    <mergeCell ref="K1505:L1505"/>
    <mergeCell ref="C1506:D1506"/>
    <mergeCell ref="E1506:F1506"/>
    <mergeCell ref="G1506:H1506"/>
    <mergeCell ref="I1506:J1506"/>
    <mergeCell ref="K1506:L1506"/>
    <mergeCell ref="K1503:L1503"/>
    <mergeCell ref="C1504:D1504"/>
    <mergeCell ref="E1504:F1504"/>
    <mergeCell ref="E1507:F1507"/>
    <mergeCell ref="G1507:H1507"/>
    <mergeCell ref="I1507:J1507"/>
    <mergeCell ref="K1507:L1507"/>
    <mergeCell ref="B1508:B1514"/>
    <mergeCell ref="C1509:D1509"/>
    <mergeCell ref="E1509:F1509"/>
    <mergeCell ref="G1509:H1509"/>
    <mergeCell ref="I1509:J1509"/>
    <mergeCell ref="K1509:L1509"/>
    <mergeCell ref="K1504:L1504"/>
    <mergeCell ref="K1500:L1500"/>
    <mergeCell ref="B1501:B1507"/>
    <mergeCell ref="C1502:D1502"/>
    <mergeCell ref="E1502:F1502"/>
    <mergeCell ref="G1502:H1502"/>
    <mergeCell ref="I1502:J1502"/>
    <mergeCell ref="K1502:L1502"/>
    <mergeCell ref="C1503:D1503"/>
    <mergeCell ref="E1503:F1503"/>
    <mergeCell ref="G1503:H1503"/>
    <mergeCell ref="C1514:D1514"/>
    <mergeCell ref="E1514:F1514"/>
    <mergeCell ref="C1500:D1500"/>
    <mergeCell ref="E1500:F1500"/>
    <mergeCell ref="G1500:H1500"/>
    <mergeCell ref="I1500:J1500"/>
    <mergeCell ref="I1503:J1503"/>
    <mergeCell ref="C1505:D1505"/>
    <mergeCell ref="E1505:F1505"/>
    <mergeCell ref="G1505:H1505"/>
    <mergeCell ref="C1512:D1512"/>
    <mergeCell ref="G1520:H1520"/>
    <mergeCell ref="I1520:J1520"/>
    <mergeCell ref="K1520:L1520"/>
    <mergeCell ref="C1521:D1521"/>
    <mergeCell ref="E1521:F1521"/>
    <mergeCell ref="C1518:D1518"/>
    <mergeCell ref="E1518:F1518"/>
    <mergeCell ref="G1518:H1518"/>
    <mergeCell ref="I1518:J1518"/>
    <mergeCell ref="K1518:L1518"/>
    <mergeCell ref="C1519:D1519"/>
    <mergeCell ref="E1519:F1519"/>
    <mergeCell ref="G1519:H1519"/>
    <mergeCell ref="I1519:J1519"/>
    <mergeCell ref="K1519:L1519"/>
    <mergeCell ref="E1510:F1510"/>
    <mergeCell ref="G1510:H1510"/>
    <mergeCell ref="I1510:J1510"/>
    <mergeCell ref="K1510:L1510"/>
    <mergeCell ref="C1511:D1511"/>
    <mergeCell ref="E1511:F1511"/>
    <mergeCell ref="G1511:H1511"/>
    <mergeCell ref="I1511:J1511"/>
    <mergeCell ref="K1511:L1511"/>
    <mergeCell ref="E1512:F1512"/>
    <mergeCell ref="G1512:H1512"/>
    <mergeCell ref="I1512:J1512"/>
    <mergeCell ref="K1512:L1512"/>
    <mergeCell ref="C1513:D1513"/>
    <mergeCell ref="E1513:F1513"/>
    <mergeCell ref="G1513:H1513"/>
    <mergeCell ref="I1513:J1513"/>
    <mergeCell ref="C1516:D1516"/>
    <mergeCell ref="E1516:F1516"/>
    <mergeCell ref="G1516:H1516"/>
    <mergeCell ref="I1516:J1516"/>
    <mergeCell ref="K1516:L1516"/>
    <mergeCell ref="C1517:D1517"/>
    <mergeCell ref="E1517:F1517"/>
    <mergeCell ref="G1517:H1517"/>
    <mergeCell ref="C1527:D1527"/>
    <mergeCell ref="E1527:F1527"/>
    <mergeCell ref="G1527:H1527"/>
    <mergeCell ref="I1527:J1527"/>
    <mergeCell ref="K1527:L1527"/>
    <mergeCell ref="G1514:H1514"/>
    <mergeCell ref="I1514:J1514"/>
    <mergeCell ref="K1514:L1514"/>
    <mergeCell ref="I1517:J1517"/>
    <mergeCell ref="K1517:L1517"/>
    <mergeCell ref="C1525:D1525"/>
    <mergeCell ref="E1525:F1525"/>
    <mergeCell ref="G1525:H1525"/>
    <mergeCell ref="I1525:J1525"/>
    <mergeCell ref="K1525:L1525"/>
    <mergeCell ref="C1526:D1526"/>
    <mergeCell ref="E1526:F1526"/>
    <mergeCell ref="G1526:H1526"/>
    <mergeCell ref="I1526:J1526"/>
    <mergeCell ref="K1526:L1526"/>
    <mergeCell ref="E1523:F1523"/>
    <mergeCell ref="G1523:H1523"/>
    <mergeCell ref="C1520:D1520"/>
    <mergeCell ref="E1520:F1520"/>
    <mergeCell ref="I1523:J1523"/>
    <mergeCell ref="K1523:L1523"/>
    <mergeCell ref="C1524:D1524"/>
    <mergeCell ref="E1524:F1524"/>
    <mergeCell ref="G1524:H1524"/>
    <mergeCell ref="I1524:J1524"/>
    <mergeCell ref="K1524:L1524"/>
    <mergeCell ref="C1534:D1534"/>
    <mergeCell ref="E1534:F1534"/>
    <mergeCell ref="G1521:H1521"/>
    <mergeCell ref="I1521:J1521"/>
    <mergeCell ref="K1521:L1521"/>
    <mergeCell ref="E1535:F1535"/>
    <mergeCell ref="G1535:H1535"/>
    <mergeCell ref="I1535:J1535"/>
    <mergeCell ref="K1535:L1535"/>
    <mergeCell ref="C1523:D1523"/>
    <mergeCell ref="C1532:D1532"/>
    <mergeCell ref="E1532:F1532"/>
    <mergeCell ref="G1532:H1532"/>
    <mergeCell ref="I1532:J1532"/>
    <mergeCell ref="K1532:L1532"/>
    <mergeCell ref="C1533:D1533"/>
    <mergeCell ref="E1533:F1533"/>
    <mergeCell ref="G1533:H1533"/>
    <mergeCell ref="I1533:J1533"/>
    <mergeCell ref="K1533:L1533"/>
    <mergeCell ref="I1528:J1528"/>
    <mergeCell ref="K1528:L1528"/>
    <mergeCell ref="E1530:F1530"/>
    <mergeCell ref="G1530:H1530"/>
    <mergeCell ref="I1530:J1530"/>
    <mergeCell ref="K1530:L1530"/>
    <mergeCell ref="C1531:D1531"/>
    <mergeCell ref="E1531:F1531"/>
    <mergeCell ref="G1531:H1531"/>
    <mergeCell ref="I1531:J1531"/>
    <mergeCell ref="C1528:D1528"/>
    <mergeCell ref="E1528:F1528"/>
    <mergeCell ref="G1528:H1528"/>
    <mergeCell ref="K1541:L1541"/>
    <mergeCell ref="C1542:D1542"/>
    <mergeCell ref="E1542:F1542"/>
    <mergeCell ref="G1542:H1542"/>
    <mergeCell ref="I1542:J1542"/>
    <mergeCell ref="K1542:L1542"/>
    <mergeCell ref="K1531:L1531"/>
    <mergeCell ref="C1540:D1540"/>
    <mergeCell ref="E1540:F1540"/>
    <mergeCell ref="G1540:H1540"/>
    <mergeCell ref="I1540:J1540"/>
    <mergeCell ref="K1540:L1540"/>
    <mergeCell ref="C1541:D1541"/>
    <mergeCell ref="K1538:L1538"/>
    <mergeCell ref="C1539:D1539"/>
    <mergeCell ref="E1539:F1539"/>
    <mergeCell ref="G1539:H1539"/>
    <mergeCell ref="I1539:J1539"/>
    <mergeCell ref="K1539:L1539"/>
    <mergeCell ref="E1537:F1537"/>
    <mergeCell ref="G1537:H1537"/>
    <mergeCell ref="I1537:J1537"/>
    <mergeCell ref="K1537:L1537"/>
    <mergeCell ref="C1538:D1538"/>
    <mergeCell ref="E1538:F1538"/>
    <mergeCell ref="G1538:H1538"/>
    <mergeCell ref="I1538:J1538"/>
    <mergeCell ref="G1534:H1534"/>
    <mergeCell ref="I1534:J1534"/>
    <mergeCell ref="K1534:L1534"/>
    <mergeCell ref="I1548:J1548"/>
    <mergeCell ref="K1548:L1548"/>
    <mergeCell ref="C1549:D1549"/>
    <mergeCell ref="E1549:F1549"/>
    <mergeCell ref="G1549:H1549"/>
    <mergeCell ref="I1549:J1549"/>
    <mergeCell ref="K1549:L1549"/>
    <mergeCell ref="C1546:D1546"/>
    <mergeCell ref="E1546:F1546"/>
    <mergeCell ref="G1546:H1546"/>
    <mergeCell ref="I1546:J1546"/>
    <mergeCell ref="K1546:L1546"/>
    <mergeCell ref="C1547:D1547"/>
    <mergeCell ref="E1547:F1547"/>
    <mergeCell ref="G1547:H1547"/>
    <mergeCell ref="I1547:J1547"/>
    <mergeCell ref="K1547:L1547"/>
    <mergeCell ref="G1544:H1544"/>
    <mergeCell ref="I1544:J1544"/>
    <mergeCell ref="G1545:H1545"/>
    <mergeCell ref="I1545:J1545"/>
    <mergeCell ref="K1545:L1545"/>
    <mergeCell ref="C1553:D1553"/>
    <mergeCell ref="E1553:F1553"/>
    <mergeCell ref="G1553:H1553"/>
    <mergeCell ref="I1553:J1553"/>
    <mergeCell ref="K1553:L1553"/>
    <mergeCell ref="E1541:F1541"/>
    <mergeCell ref="G1541:H1541"/>
    <mergeCell ref="I1541:J1541"/>
    <mergeCell ref="C1544:D1544"/>
    <mergeCell ref="E1544:F1544"/>
    <mergeCell ref="I1551:J1551"/>
    <mergeCell ref="K1551:L1551"/>
    <mergeCell ref="C1552:D1552"/>
    <mergeCell ref="E1552:F1552"/>
    <mergeCell ref="G1552:H1552"/>
    <mergeCell ref="I1552:J1552"/>
    <mergeCell ref="K1552:L1552"/>
    <mergeCell ref="K1544:L1544"/>
    <mergeCell ref="C1545:D1545"/>
    <mergeCell ref="E1545:F1545"/>
    <mergeCell ref="C1548:D1548"/>
    <mergeCell ref="E1548:F1548"/>
    <mergeCell ref="G1548:H1548"/>
    <mergeCell ref="E1551:F1551"/>
    <mergeCell ref="G1551:H1551"/>
    <mergeCell ref="K1561:L1561"/>
    <mergeCell ref="E1558:F1558"/>
    <mergeCell ref="G1558:H1558"/>
    <mergeCell ref="I1558:J1558"/>
    <mergeCell ref="K1558:L1558"/>
    <mergeCell ref="C1559:D1559"/>
    <mergeCell ref="E1559:F1559"/>
    <mergeCell ref="G1559:H1559"/>
    <mergeCell ref="I1559:J1559"/>
    <mergeCell ref="C1554:D1554"/>
    <mergeCell ref="E1554:F1554"/>
    <mergeCell ref="G1554:H1554"/>
    <mergeCell ref="I1554:J1554"/>
    <mergeCell ref="K1554:L1554"/>
    <mergeCell ref="E1555:F1555"/>
    <mergeCell ref="G1555:H1555"/>
    <mergeCell ref="I1555:J1555"/>
    <mergeCell ref="K1555:L1555"/>
    <mergeCell ref="C1556:D1556"/>
    <mergeCell ref="E1556:F1556"/>
    <mergeCell ref="G1556:H1556"/>
    <mergeCell ref="I1556:J1556"/>
    <mergeCell ref="K1556:L1556"/>
    <mergeCell ref="K1559:L1559"/>
    <mergeCell ref="C1560:D1560"/>
    <mergeCell ref="E1560:F1560"/>
    <mergeCell ref="G1560:H1560"/>
    <mergeCell ref="C1562:D1562"/>
    <mergeCell ref="E1562:F1562"/>
    <mergeCell ref="G1562:H1562"/>
    <mergeCell ref="I1562:J1562"/>
    <mergeCell ref="K1562:L1562"/>
    <mergeCell ref="I1560:J1560"/>
    <mergeCell ref="K1560:L1560"/>
    <mergeCell ref="C1561:D1561"/>
    <mergeCell ref="E1561:F1561"/>
    <mergeCell ref="G1561:H1561"/>
    <mergeCell ref="I1561:J1561"/>
    <mergeCell ref="B1564:B1570"/>
    <mergeCell ref="C1565:D1565"/>
    <mergeCell ref="E1565:F1565"/>
    <mergeCell ref="G1565:H1565"/>
    <mergeCell ref="I1565:J1565"/>
    <mergeCell ref="K1565:L1565"/>
    <mergeCell ref="K1570:L1570"/>
    <mergeCell ref="E1568:F1568"/>
    <mergeCell ref="G1568:H1568"/>
    <mergeCell ref="I1568:J1568"/>
    <mergeCell ref="K1568:L1568"/>
    <mergeCell ref="C1569:D1569"/>
    <mergeCell ref="E1569:F1569"/>
    <mergeCell ref="G1569:H1569"/>
    <mergeCell ref="I1569:J1569"/>
    <mergeCell ref="I1566:J1566"/>
    <mergeCell ref="K1566:L1566"/>
    <mergeCell ref="C1567:D1567"/>
    <mergeCell ref="E1567:F1567"/>
    <mergeCell ref="G1567:H1567"/>
    <mergeCell ref="I1567:J1567"/>
    <mergeCell ref="C1563:D1563"/>
    <mergeCell ref="E1563:F1563"/>
    <mergeCell ref="G1563:H1563"/>
    <mergeCell ref="C1566:D1566"/>
    <mergeCell ref="E1566:F1566"/>
    <mergeCell ref="G1566:H1566"/>
    <mergeCell ref="C1568:D1568"/>
    <mergeCell ref="C1574:D1574"/>
    <mergeCell ref="E1574:F1574"/>
    <mergeCell ref="G1574:H1574"/>
    <mergeCell ref="I1574:J1574"/>
    <mergeCell ref="K1574:L1574"/>
    <mergeCell ref="C1575:D1575"/>
    <mergeCell ref="E1575:F1575"/>
    <mergeCell ref="G1575:H1575"/>
    <mergeCell ref="I1575:J1575"/>
    <mergeCell ref="K1575:L1575"/>
    <mergeCell ref="C1572:D1572"/>
    <mergeCell ref="E1572:F1572"/>
    <mergeCell ref="G1572:H1572"/>
    <mergeCell ref="I1572:J1572"/>
    <mergeCell ref="K1572:L1572"/>
    <mergeCell ref="K1569:L1569"/>
    <mergeCell ref="C1570:D1570"/>
    <mergeCell ref="E1570:F1570"/>
    <mergeCell ref="G1570:H1570"/>
    <mergeCell ref="I1570:J1570"/>
    <mergeCell ref="E1573:F1573"/>
    <mergeCell ref="K1567:L1567"/>
    <mergeCell ref="I1563:J1563"/>
    <mergeCell ref="K1563:L1563"/>
    <mergeCell ref="G1573:H1573"/>
    <mergeCell ref="I1573:J1573"/>
    <mergeCell ref="K1573:L1573"/>
    <mergeCell ref="C1581:D1581"/>
    <mergeCell ref="E1581:F1581"/>
    <mergeCell ref="G1581:H1581"/>
    <mergeCell ref="I1581:J1581"/>
    <mergeCell ref="K1581:L1581"/>
    <mergeCell ref="C1582:D1582"/>
    <mergeCell ref="E1582:F1582"/>
    <mergeCell ref="G1582:H1582"/>
    <mergeCell ref="I1582:J1582"/>
    <mergeCell ref="K1582:L1582"/>
    <mergeCell ref="E1579:F1579"/>
    <mergeCell ref="I1576:J1576"/>
    <mergeCell ref="I1577:J1577"/>
    <mergeCell ref="K1577:L1577"/>
    <mergeCell ref="C1577:D1577"/>
    <mergeCell ref="E1577:F1577"/>
    <mergeCell ref="C1579:D1579"/>
    <mergeCell ref="G1577:H1577"/>
    <mergeCell ref="C1573:D1573"/>
    <mergeCell ref="C1576:D1576"/>
    <mergeCell ref="E1576:F1576"/>
    <mergeCell ref="G1576:H1576"/>
    <mergeCell ref="K1576:L1576"/>
    <mergeCell ref="K1587:L1587"/>
    <mergeCell ref="C1588:D1588"/>
    <mergeCell ref="E1588:F1588"/>
    <mergeCell ref="G1588:H1588"/>
    <mergeCell ref="I1588:J1588"/>
    <mergeCell ref="K1588:L1588"/>
    <mergeCell ref="C1598:D1598"/>
    <mergeCell ref="E1598:F1598"/>
    <mergeCell ref="G1598:H1598"/>
    <mergeCell ref="I1598:J1598"/>
    <mergeCell ref="K1598:L1598"/>
    <mergeCell ref="G1579:H1579"/>
    <mergeCell ref="I1579:J1579"/>
    <mergeCell ref="K1579:L1579"/>
    <mergeCell ref="C1580:D1580"/>
    <mergeCell ref="E1580:F1580"/>
    <mergeCell ref="G1580:H1580"/>
    <mergeCell ref="I1580:J1580"/>
    <mergeCell ref="K1580:L1580"/>
    <mergeCell ref="K1590:L1590"/>
    <mergeCell ref="C1591:D1591"/>
    <mergeCell ref="E1591:F1591"/>
    <mergeCell ref="G1591:H1591"/>
    <mergeCell ref="I1591:J1591"/>
    <mergeCell ref="E1586:F1586"/>
    <mergeCell ref="G1586:H1586"/>
    <mergeCell ref="I1586:J1586"/>
    <mergeCell ref="E1583:F1583"/>
    <mergeCell ref="G1583:H1583"/>
    <mergeCell ref="C1583:D1583"/>
    <mergeCell ref="G1600:H1600"/>
    <mergeCell ref="I1583:J1583"/>
    <mergeCell ref="K1583:L1583"/>
    <mergeCell ref="C1584:D1584"/>
    <mergeCell ref="I1597:J1597"/>
    <mergeCell ref="K1597:L1597"/>
    <mergeCell ref="K1586:L1586"/>
    <mergeCell ref="C1587:D1587"/>
    <mergeCell ref="E1587:F1587"/>
    <mergeCell ref="G1595:H1595"/>
    <mergeCell ref="I1595:J1595"/>
    <mergeCell ref="K1595:L1595"/>
    <mergeCell ref="C1596:D1596"/>
    <mergeCell ref="E1596:F1596"/>
    <mergeCell ref="G1596:H1596"/>
    <mergeCell ref="C1593:D1593"/>
    <mergeCell ref="E1593:F1593"/>
    <mergeCell ref="G1593:H1593"/>
    <mergeCell ref="I1593:J1593"/>
    <mergeCell ref="K1593:L1593"/>
    <mergeCell ref="C1594:D1594"/>
    <mergeCell ref="E1594:F1594"/>
    <mergeCell ref="G1594:H1594"/>
    <mergeCell ref="I1594:J1594"/>
    <mergeCell ref="K1591:L1591"/>
    <mergeCell ref="I1589:J1589"/>
    <mergeCell ref="E1584:F1584"/>
    <mergeCell ref="G1584:H1584"/>
    <mergeCell ref="I1584:J1584"/>
    <mergeCell ref="K1584:L1584"/>
    <mergeCell ref="G1587:H1587"/>
    <mergeCell ref="I1587:J1587"/>
    <mergeCell ref="C1607:D1607"/>
    <mergeCell ref="K1604:L1604"/>
    <mergeCell ref="C1605:D1605"/>
    <mergeCell ref="E1605:F1605"/>
    <mergeCell ref="G1605:H1605"/>
    <mergeCell ref="I1605:J1605"/>
    <mergeCell ref="K1605:L1605"/>
    <mergeCell ref="C1603:D1603"/>
    <mergeCell ref="E1603:F1603"/>
    <mergeCell ref="K1589:L1589"/>
    <mergeCell ref="C1590:D1590"/>
    <mergeCell ref="E1590:F1590"/>
    <mergeCell ref="G1590:H1590"/>
    <mergeCell ref="I1590:J1590"/>
    <mergeCell ref="K1594:L1594"/>
    <mergeCell ref="C1595:D1595"/>
    <mergeCell ref="E1595:F1595"/>
    <mergeCell ref="K1601:L1601"/>
    <mergeCell ref="C1602:D1602"/>
    <mergeCell ref="E1602:F1602"/>
    <mergeCell ref="G1602:H1602"/>
    <mergeCell ref="I1602:J1602"/>
    <mergeCell ref="K1602:L1602"/>
    <mergeCell ref="I1596:J1596"/>
    <mergeCell ref="K1596:L1596"/>
    <mergeCell ref="C1597:D1597"/>
    <mergeCell ref="E1597:F1597"/>
    <mergeCell ref="G1597:H1597"/>
    <mergeCell ref="C1589:D1589"/>
    <mergeCell ref="E1589:F1589"/>
    <mergeCell ref="G1589:H1589"/>
    <mergeCell ref="E1600:F1600"/>
    <mergeCell ref="K1610:L1610"/>
    <mergeCell ref="I1600:J1600"/>
    <mergeCell ref="K1600:L1600"/>
    <mergeCell ref="C1601:D1601"/>
    <mergeCell ref="E1601:F1601"/>
    <mergeCell ref="G1601:H1601"/>
    <mergeCell ref="I1601:J1601"/>
    <mergeCell ref="E1611:F1611"/>
    <mergeCell ref="G1611:H1611"/>
    <mergeCell ref="I1611:J1611"/>
    <mergeCell ref="K1611:L1611"/>
    <mergeCell ref="C1612:D1612"/>
    <mergeCell ref="E1612:F1612"/>
    <mergeCell ref="G1612:H1612"/>
    <mergeCell ref="I1612:J1612"/>
    <mergeCell ref="K1612:L1612"/>
    <mergeCell ref="C1609:D1609"/>
    <mergeCell ref="E1609:F1609"/>
    <mergeCell ref="G1609:H1609"/>
    <mergeCell ref="I1609:J1609"/>
    <mergeCell ref="K1609:L1609"/>
    <mergeCell ref="E1607:F1607"/>
    <mergeCell ref="G1607:H1607"/>
    <mergeCell ref="I1607:J1607"/>
    <mergeCell ref="K1607:L1607"/>
    <mergeCell ref="C1608:D1608"/>
    <mergeCell ref="E1608:F1608"/>
    <mergeCell ref="G1608:H1608"/>
    <mergeCell ref="I1608:J1608"/>
    <mergeCell ref="G1604:H1604"/>
    <mergeCell ref="I1604:J1604"/>
    <mergeCell ref="K1608:L1608"/>
    <mergeCell ref="G1626:H1626"/>
    <mergeCell ref="C1618:D1618"/>
    <mergeCell ref="E1618:F1618"/>
    <mergeCell ref="G1618:H1618"/>
    <mergeCell ref="I1618:J1618"/>
    <mergeCell ref="K1618:L1618"/>
    <mergeCell ref="G1603:H1603"/>
    <mergeCell ref="I1603:J1603"/>
    <mergeCell ref="K1603:L1603"/>
    <mergeCell ref="C1604:D1604"/>
    <mergeCell ref="E1604:F1604"/>
    <mergeCell ref="C1616:D1616"/>
    <mergeCell ref="E1616:F1616"/>
    <mergeCell ref="G1616:H1616"/>
    <mergeCell ref="I1616:J1616"/>
    <mergeCell ref="K1616:L1616"/>
    <mergeCell ref="C1617:D1617"/>
    <mergeCell ref="E1617:F1617"/>
    <mergeCell ref="G1617:H1617"/>
    <mergeCell ref="I1617:J1617"/>
    <mergeCell ref="K1617:L1617"/>
    <mergeCell ref="I1614:J1614"/>
    <mergeCell ref="K1614:L1614"/>
    <mergeCell ref="C1615:D1615"/>
    <mergeCell ref="E1615:F1615"/>
    <mergeCell ref="G1615:H1615"/>
    <mergeCell ref="I1615:J1615"/>
    <mergeCell ref="K1615:L1615"/>
    <mergeCell ref="C1610:D1610"/>
    <mergeCell ref="E1610:F1610"/>
    <mergeCell ref="G1610:H1610"/>
    <mergeCell ref="I1610:J1610"/>
    <mergeCell ref="C1614:D1614"/>
    <mergeCell ref="E1614:F1614"/>
    <mergeCell ref="G1614:H1614"/>
    <mergeCell ref="C1624:D1624"/>
    <mergeCell ref="E1624:F1624"/>
    <mergeCell ref="G1624:H1624"/>
    <mergeCell ref="I1624:J1624"/>
    <mergeCell ref="K1624:L1624"/>
    <mergeCell ref="C1625:D1625"/>
    <mergeCell ref="E1625:F1625"/>
    <mergeCell ref="G1625:H1625"/>
    <mergeCell ref="K1622:L1622"/>
    <mergeCell ref="C1623:D1623"/>
    <mergeCell ref="E1623:F1623"/>
    <mergeCell ref="G1623:H1623"/>
    <mergeCell ref="I1623:J1623"/>
    <mergeCell ref="K1623:L1623"/>
    <mergeCell ref="K1619:L1619"/>
    <mergeCell ref="E1621:F1621"/>
    <mergeCell ref="G1621:H1621"/>
    <mergeCell ref="I1621:J1621"/>
    <mergeCell ref="K1621:L1621"/>
    <mergeCell ref="C1619:D1619"/>
    <mergeCell ref="E1619:F1619"/>
    <mergeCell ref="G1619:H1619"/>
    <mergeCell ref="I1619:J1619"/>
    <mergeCell ref="C1622:D1622"/>
    <mergeCell ref="E1622:F1622"/>
    <mergeCell ref="G1622:H1622"/>
    <mergeCell ref="I1622:J1622"/>
    <mergeCell ref="I1625:J1625"/>
    <mergeCell ref="K1625:L1625"/>
    <mergeCell ref="C1632:D1632"/>
    <mergeCell ref="E1632:F1632"/>
    <mergeCell ref="C1630:D1630"/>
    <mergeCell ref="E1630:F1630"/>
    <mergeCell ref="G1630:H1630"/>
    <mergeCell ref="I1630:J1630"/>
    <mergeCell ref="K1630:L1630"/>
    <mergeCell ref="C1631:D1631"/>
    <mergeCell ref="E1631:F1631"/>
    <mergeCell ref="G1631:H1631"/>
    <mergeCell ref="I1631:J1631"/>
    <mergeCell ref="K1631:L1631"/>
    <mergeCell ref="C1628:D1628"/>
    <mergeCell ref="E1628:F1628"/>
    <mergeCell ref="G1628:H1628"/>
    <mergeCell ref="I1628:J1628"/>
    <mergeCell ref="K1628:L1628"/>
    <mergeCell ref="E1629:F1629"/>
    <mergeCell ref="G1629:H1629"/>
    <mergeCell ref="I1629:J1629"/>
    <mergeCell ref="G1642:H1642"/>
    <mergeCell ref="I1642:J1642"/>
    <mergeCell ref="C1626:D1626"/>
    <mergeCell ref="E1626:F1626"/>
    <mergeCell ref="I1626:J1626"/>
    <mergeCell ref="K1626:L1626"/>
    <mergeCell ref="K1629:L1629"/>
    <mergeCell ref="C1638:D1638"/>
    <mergeCell ref="E1638:F1638"/>
    <mergeCell ref="G1638:H1638"/>
    <mergeCell ref="I1638:J1638"/>
    <mergeCell ref="K1638:L1638"/>
    <mergeCell ref="C1639:D1639"/>
    <mergeCell ref="K1636:L1636"/>
    <mergeCell ref="C1637:D1637"/>
    <mergeCell ref="E1637:F1637"/>
    <mergeCell ref="G1637:H1637"/>
    <mergeCell ref="I1637:J1637"/>
    <mergeCell ref="K1637:L1637"/>
    <mergeCell ref="G1633:H1633"/>
    <mergeCell ref="I1633:J1633"/>
    <mergeCell ref="K1633:L1633"/>
    <mergeCell ref="C1635:D1635"/>
    <mergeCell ref="E1635:F1635"/>
    <mergeCell ref="G1635:H1635"/>
    <mergeCell ref="I1635:J1635"/>
    <mergeCell ref="K1635:L1635"/>
    <mergeCell ref="G1632:H1632"/>
    <mergeCell ref="I1632:J1632"/>
    <mergeCell ref="K1632:L1632"/>
    <mergeCell ref="C1633:D1633"/>
    <mergeCell ref="E1633:F1633"/>
    <mergeCell ref="G1647:H1647"/>
    <mergeCell ref="I1647:J1647"/>
    <mergeCell ref="K1647:L1647"/>
    <mergeCell ref="K1649:L1649"/>
    <mergeCell ref="E1636:F1636"/>
    <mergeCell ref="G1636:H1636"/>
    <mergeCell ref="I1636:J1636"/>
    <mergeCell ref="C1644:D1644"/>
    <mergeCell ref="E1644:F1644"/>
    <mergeCell ref="G1644:H1644"/>
    <mergeCell ref="I1644:J1644"/>
    <mergeCell ref="C1645:D1645"/>
    <mergeCell ref="E1645:F1645"/>
    <mergeCell ref="G1645:H1645"/>
    <mergeCell ref="I1645:J1645"/>
    <mergeCell ref="K1642:L1642"/>
    <mergeCell ref="C1643:D1643"/>
    <mergeCell ref="E1643:F1643"/>
    <mergeCell ref="G1643:H1643"/>
    <mergeCell ref="I1643:J1643"/>
    <mergeCell ref="K1643:L1643"/>
    <mergeCell ref="E1639:F1639"/>
    <mergeCell ref="G1639:H1639"/>
    <mergeCell ref="I1639:J1639"/>
    <mergeCell ref="K1639:L1639"/>
    <mergeCell ref="C1640:D1640"/>
    <mergeCell ref="C1642:D1642"/>
    <mergeCell ref="E1642:F1642"/>
    <mergeCell ref="E1640:F1640"/>
    <mergeCell ref="G1640:H1640"/>
    <mergeCell ref="I1640:J1640"/>
    <mergeCell ref="K1640:L1640"/>
    <mergeCell ref="C1646:D1646"/>
    <mergeCell ref="E1646:F1646"/>
    <mergeCell ref="G1646:H1646"/>
    <mergeCell ref="I1646:J1646"/>
    <mergeCell ref="G1652:H1652"/>
    <mergeCell ref="I1652:J1652"/>
    <mergeCell ref="G1653:H1653"/>
    <mergeCell ref="I1653:J1653"/>
    <mergeCell ref="K1653:L1653"/>
    <mergeCell ref="C1654:D1654"/>
    <mergeCell ref="E1654:F1654"/>
    <mergeCell ref="G1654:H1654"/>
    <mergeCell ref="I1654:J1654"/>
    <mergeCell ref="K1654:L1654"/>
    <mergeCell ref="E1652:F1652"/>
    <mergeCell ref="K1652:L1652"/>
    <mergeCell ref="E1653:F1653"/>
    <mergeCell ref="C1650:D1650"/>
    <mergeCell ref="E1650:F1650"/>
    <mergeCell ref="G1650:H1650"/>
    <mergeCell ref="I1650:J1650"/>
    <mergeCell ref="K1650:L1650"/>
    <mergeCell ref="C1651:D1651"/>
    <mergeCell ref="E1651:F1651"/>
    <mergeCell ref="G1651:H1651"/>
    <mergeCell ref="I1651:J1651"/>
    <mergeCell ref="K1651:L1651"/>
    <mergeCell ref="E1649:F1649"/>
    <mergeCell ref="G1649:H1649"/>
    <mergeCell ref="I1649:J1649"/>
    <mergeCell ref="C1647:D1647"/>
    <mergeCell ref="E1647:F1647"/>
    <mergeCell ref="G1656:H1656"/>
    <mergeCell ref="I1656:J1656"/>
    <mergeCell ref="K1656:L1656"/>
    <mergeCell ref="C1653:D1653"/>
    <mergeCell ref="G1659:H1659"/>
    <mergeCell ref="C1661:D1661"/>
    <mergeCell ref="I1659:J1659"/>
    <mergeCell ref="K1659:L1659"/>
    <mergeCell ref="E1661:F1661"/>
    <mergeCell ref="G1661:H1661"/>
    <mergeCell ref="I1661:J1661"/>
    <mergeCell ref="E1660:F1660"/>
    <mergeCell ref="G1660:H1660"/>
    <mergeCell ref="I1660:J1660"/>
    <mergeCell ref="K1660:L1660"/>
    <mergeCell ref="K1661:L1661"/>
    <mergeCell ref="C1660:D1660"/>
    <mergeCell ref="G1663:H1663"/>
    <mergeCell ref="I1663:J1663"/>
    <mergeCell ref="G1657:H1657"/>
    <mergeCell ref="I1657:J1657"/>
    <mergeCell ref="K1657:L1657"/>
    <mergeCell ref="C1658:D1658"/>
    <mergeCell ref="E1658:F1658"/>
    <mergeCell ref="G1658:H1658"/>
    <mergeCell ref="I1658:J1658"/>
    <mergeCell ref="K1658:L1658"/>
    <mergeCell ref="I1674:J1674"/>
    <mergeCell ref="K1674:L1674"/>
    <mergeCell ref="I1671:J1671"/>
    <mergeCell ref="K1671:L1671"/>
    <mergeCell ref="C1672:D1672"/>
    <mergeCell ref="E1672:F1672"/>
    <mergeCell ref="G1672:H1672"/>
    <mergeCell ref="I1672:J1672"/>
    <mergeCell ref="K1672:L1672"/>
    <mergeCell ref="G1666:H1666"/>
    <mergeCell ref="I1666:J1666"/>
    <mergeCell ref="K1666:L1666"/>
    <mergeCell ref="K1663:L1663"/>
    <mergeCell ref="C1664:D1664"/>
    <mergeCell ref="E1664:F1664"/>
    <mergeCell ref="G1664:H1664"/>
    <mergeCell ref="I1664:J1664"/>
    <mergeCell ref="K1664:L1664"/>
    <mergeCell ref="G1678:H1678"/>
    <mergeCell ref="I1678:J1678"/>
    <mergeCell ref="C1675:D1675"/>
    <mergeCell ref="E1675:F1675"/>
    <mergeCell ref="G1675:H1675"/>
    <mergeCell ref="I1675:J1675"/>
    <mergeCell ref="C1667:D1667"/>
    <mergeCell ref="E1667:F1667"/>
    <mergeCell ref="G1667:H1667"/>
    <mergeCell ref="I1667:J1667"/>
    <mergeCell ref="K1667:L1667"/>
    <mergeCell ref="C1668:D1668"/>
    <mergeCell ref="C1665:D1665"/>
    <mergeCell ref="E1665:F1665"/>
    <mergeCell ref="G1665:H1665"/>
    <mergeCell ref="I1665:J1665"/>
    <mergeCell ref="K1665:L1665"/>
    <mergeCell ref="C1666:D1666"/>
    <mergeCell ref="E1666:F1666"/>
    <mergeCell ref="G1670:H1670"/>
    <mergeCell ref="I1670:J1670"/>
    <mergeCell ref="K1670:L1670"/>
    <mergeCell ref="C1671:D1671"/>
    <mergeCell ref="E1671:F1671"/>
    <mergeCell ref="C1673:D1673"/>
    <mergeCell ref="E1673:F1673"/>
    <mergeCell ref="G1673:H1673"/>
    <mergeCell ref="I1673:J1673"/>
    <mergeCell ref="K1673:L1673"/>
    <mergeCell ref="C1674:D1674"/>
    <mergeCell ref="E1674:F1674"/>
    <mergeCell ref="G1674:H1674"/>
    <mergeCell ref="K1685:L1685"/>
    <mergeCell ref="C1686:D1686"/>
    <mergeCell ref="G1682:H1682"/>
    <mergeCell ref="I1682:J1682"/>
    <mergeCell ref="E1686:F1686"/>
    <mergeCell ref="G1686:H1686"/>
    <mergeCell ref="I1686:J1686"/>
    <mergeCell ref="G1684:H1684"/>
    <mergeCell ref="I1684:J1684"/>
    <mergeCell ref="I1680:J1680"/>
    <mergeCell ref="K1680:L1680"/>
    <mergeCell ref="C1681:D1681"/>
    <mergeCell ref="E1681:F1681"/>
    <mergeCell ref="G1681:H1681"/>
    <mergeCell ref="E1668:F1668"/>
    <mergeCell ref="G1668:H1668"/>
    <mergeCell ref="I1668:J1668"/>
    <mergeCell ref="K1668:L1668"/>
    <mergeCell ref="G1671:H1671"/>
    <mergeCell ref="K1678:L1678"/>
    <mergeCell ref="C1679:D1679"/>
    <mergeCell ref="E1679:F1679"/>
    <mergeCell ref="G1679:H1679"/>
    <mergeCell ref="I1679:J1679"/>
    <mergeCell ref="K1679:L1679"/>
    <mergeCell ref="I1681:J1681"/>
    <mergeCell ref="K1681:L1681"/>
    <mergeCell ref="E1677:F1677"/>
    <mergeCell ref="G1677:H1677"/>
    <mergeCell ref="I1677:J1677"/>
    <mergeCell ref="K1677:L1677"/>
    <mergeCell ref="K1675:L1675"/>
    <mergeCell ref="K1684:L1684"/>
    <mergeCell ref="C1692:D1692"/>
    <mergeCell ref="E1692:F1692"/>
    <mergeCell ref="G1692:H1692"/>
    <mergeCell ref="I1692:J1692"/>
    <mergeCell ref="K1692:L1692"/>
    <mergeCell ref="C1693:D1693"/>
    <mergeCell ref="E1693:F1693"/>
    <mergeCell ref="G1693:H1693"/>
    <mergeCell ref="I1693:J1693"/>
    <mergeCell ref="K1693:L1693"/>
    <mergeCell ref="E1691:F1691"/>
    <mergeCell ref="I1691:J1691"/>
    <mergeCell ref="E1689:F1689"/>
    <mergeCell ref="G1689:H1689"/>
    <mergeCell ref="I1689:J1689"/>
    <mergeCell ref="C1680:D1680"/>
    <mergeCell ref="E1680:F1680"/>
    <mergeCell ref="G1680:H1680"/>
    <mergeCell ref="C1687:D1687"/>
    <mergeCell ref="E1687:F1687"/>
    <mergeCell ref="G1687:H1687"/>
    <mergeCell ref="I1687:J1687"/>
    <mergeCell ref="K1682:L1682"/>
    <mergeCell ref="C1682:D1682"/>
    <mergeCell ref="E1682:F1682"/>
    <mergeCell ref="K1687:L1687"/>
    <mergeCell ref="C1688:D1688"/>
    <mergeCell ref="C1685:D1685"/>
    <mergeCell ref="E1685:F1685"/>
    <mergeCell ref="G1685:H1685"/>
    <mergeCell ref="I1685:J1685"/>
    <mergeCell ref="G1701:H1701"/>
    <mergeCell ref="I1701:J1701"/>
    <mergeCell ref="E1698:F1698"/>
    <mergeCell ref="G1698:H1698"/>
    <mergeCell ref="I1698:J1698"/>
    <mergeCell ref="K1698:L1698"/>
    <mergeCell ref="K1699:L1699"/>
    <mergeCell ref="G1695:H1695"/>
    <mergeCell ref="I1695:J1695"/>
    <mergeCell ref="C1698:D1698"/>
    <mergeCell ref="C1699:D1699"/>
    <mergeCell ref="E1699:F1699"/>
    <mergeCell ref="G1699:H1699"/>
    <mergeCell ref="I1699:J1699"/>
    <mergeCell ref="K1701:L1701"/>
    <mergeCell ref="K1695:L1695"/>
    <mergeCell ref="K1686:L1686"/>
    <mergeCell ref="C1696:D1696"/>
    <mergeCell ref="E1696:F1696"/>
    <mergeCell ref="G1696:H1696"/>
    <mergeCell ref="I1696:J1696"/>
    <mergeCell ref="K1696:L1696"/>
    <mergeCell ref="C1695:D1695"/>
    <mergeCell ref="E1695:F1695"/>
    <mergeCell ref="C1694:D1694"/>
    <mergeCell ref="E1694:F1694"/>
    <mergeCell ref="G1694:H1694"/>
    <mergeCell ref="I1694:J1694"/>
    <mergeCell ref="K1694:L1694"/>
    <mergeCell ref="G1707:H1707"/>
    <mergeCell ref="I1707:J1707"/>
    <mergeCell ref="K1707:L1707"/>
    <mergeCell ref="C1703:D1703"/>
    <mergeCell ref="E1703:F1703"/>
    <mergeCell ref="G1703:H1703"/>
    <mergeCell ref="I1703:J1703"/>
    <mergeCell ref="K1703:L1703"/>
    <mergeCell ref="G1705:H1705"/>
    <mergeCell ref="I1705:J1705"/>
    <mergeCell ref="K1705:L1705"/>
    <mergeCell ref="C1706:D1706"/>
    <mergeCell ref="E1706:F1706"/>
    <mergeCell ref="G1706:H1706"/>
    <mergeCell ref="I1706:J1706"/>
    <mergeCell ref="K1706:L1706"/>
    <mergeCell ref="E1688:F1688"/>
    <mergeCell ref="G1688:H1688"/>
    <mergeCell ref="I1688:J1688"/>
    <mergeCell ref="K1688:L1688"/>
    <mergeCell ref="I1702:J1702"/>
    <mergeCell ref="K1702:L1702"/>
    <mergeCell ref="K1691:L1691"/>
    <mergeCell ref="G1691:H1691"/>
    <mergeCell ref="K1689:L1689"/>
    <mergeCell ref="C1700:D1700"/>
    <mergeCell ref="E1700:F1700"/>
    <mergeCell ref="G1700:H1700"/>
    <mergeCell ref="I1700:J1700"/>
    <mergeCell ref="K1700:L1700"/>
    <mergeCell ref="C1701:D1701"/>
    <mergeCell ref="E1701:F1701"/>
    <mergeCell ref="G1702:H1702"/>
    <mergeCell ref="E1705:F1705"/>
    <mergeCell ref="I1714:J1714"/>
    <mergeCell ref="K1714:L1714"/>
    <mergeCell ref="C1715:D1715"/>
    <mergeCell ref="E1715:F1715"/>
    <mergeCell ref="G1715:H1715"/>
    <mergeCell ref="I1715:J1715"/>
    <mergeCell ref="K1715:L1715"/>
    <mergeCell ref="E1712:F1712"/>
    <mergeCell ref="G1712:H1712"/>
    <mergeCell ref="I1712:J1712"/>
    <mergeCell ref="K1712:L1712"/>
    <mergeCell ref="C1713:D1713"/>
    <mergeCell ref="E1713:F1713"/>
    <mergeCell ref="G1713:H1713"/>
    <mergeCell ref="I1713:J1713"/>
    <mergeCell ref="C1708:D1708"/>
    <mergeCell ref="E1708:F1708"/>
    <mergeCell ref="G1708:H1708"/>
    <mergeCell ref="I1708:J1708"/>
    <mergeCell ref="K1708:L1708"/>
    <mergeCell ref="E1709:F1709"/>
    <mergeCell ref="G1709:H1709"/>
    <mergeCell ref="I1709:J1709"/>
    <mergeCell ref="K1709:L1709"/>
    <mergeCell ref="C1710:D1710"/>
    <mergeCell ref="E1710:F1710"/>
    <mergeCell ref="G1710:H1710"/>
    <mergeCell ref="I1710:J1710"/>
    <mergeCell ref="K1710:L1710"/>
    <mergeCell ref="C1707:D1707"/>
    <mergeCell ref="K1713:L1713"/>
    <mergeCell ref="C1714:D1714"/>
    <mergeCell ref="E1714:F1714"/>
    <mergeCell ref="G1714:H1714"/>
    <mergeCell ref="E1722:F1722"/>
    <mergeCell ref="G1722:H1722"/>
    <mergeCell ref="I1722:J1722"/>
    <mergeCell ref="K1722:L1722"/>
    <mergeCell ref="C1723:D1723"/>
    <mergeCell ref="E1723:F1723"/>
    <mergeCell ref="G1723:H1723"/>
    <mergeCell ref="I1723:J1723"/>
    <mergeCell ref="I1720:J1720"/>
    <mergeCell ref="K1720:L1720"/>
    <mergeCell ref="C1721:D1721"/>
    <mergeCell ref="E1721:F1721"/>
    <mergeCell ref="G1721:H1721"/>
    <mergeCell ref="I1721:J1721"/>
    <mergeCell ref="K1721:L1721"/>
    <mergeCell ref="I1717:J1717"/>
    <mergeCell ref="K1717:L1717"/>
    <mergeCell ref="C1716:D1716"/>
    <mergeCell ref="E1716:F1716"/>
    <mergeCell ref="G1716:H1716"/>
    <mergeCell ref="I1716:J1716"/>
    <mergeCell ref="K1716:L1716"/>
    <mergeCell ref="G1719:H1719"/>
    <mergeCell ref="I1719:J1719"/>
    <mergeCell ref="K1719:L1719"/>
    <mergeCell ref="G1717:H1717"/>
    <mergeCell ref="C1720:D1720"/>
    <mergeCell ref="E1720:F1720"/>
    <mergeCell ref="G1720:H1720"/>
    <mergeCell ref="C1722:D1722"/>
    <mergeCell ref="C1728:D1728"/>
    <mergeCell ref="E1728:F1728"/>
    <mergeCell ref="G1728:H1728"/>
    <mergeCell ref="I1728:J1728"/>
    <mergeCell ref="K1728:L1728"/>
    <mergeCell ref="C1729:D1729"/>
    <mergeCell ref="E1729:F1729"/>
    <mergeCell ref="G1729:H1729"/>
    <mergeCell ref="I1729:J1729"/>
    <mergeCell ref="K1729:L1729"/>
    <mergeCell ref="E1726:F1726"/>
    <mergeCell ref="G1726:H1726"/>
    <mergeCell ref="I1726:J1726"/>
    <mergeCell ref="K1726:L1726"/>
    <mergeCell ref="K1724:L1724"/>
    <mergeCell ref="G1727:H1727"/>
    <mergeCell ref="I1727:J1727"/>
    <mergeCell ref="K1727:L1727"/>
    <mergeCell ref="K1723:L1723"/>
    <mergeCell ref="C1724:D1724"/>
    <mergeCell ref="E1724:F1724"/>
    <mergeCell ref="G1724:H1724"/>
    <mergeCell ref="I1724:J1724"/>
    <mergeCell ref="K1735:L1735"/>
    <mergeCell ref="C1736:D1736"/>
    <mergeCell ref="E1736:F1736"/>
    <mergeCell ref="G1736:H1736"/>
    <mergeCell ref="I1736:J1736"/>
    <mergeCell ref="K1736:L1736"/>
    <mergeCell ref="E1733:F1733"/>
    <mergeCell ref="G1733:H1733"/>
    <mergeCell ref="I1733:J1733"/>
    <mergeCell ref="I1730:J1730"/>
    <mergeCell ref="K1730:L1730"/>
    <mergeCell ref="C1731:D1731"/>
    <mergeCell ref="E1731:F1731"/>
    <mergeCell ref="G1731:H1731"/>
    <mergeCell ref="I1731:J1731"/>
    <mergeCell ref="K1731:L1731"/>
    <mergeCell ref="C1730:D1730"/>
    <mergeCell ref="E1730:F1730"/>
    <mergeCell ref="G1730:H1730"/>
    <mergeCell ref="K1740:L1740"/>
    <mergeCell ref="C1741:D1741"/>
    <mergeCell ref="E1741:F1741"/>
    <mergeCell ref="G1741:H1741"/>
    <mergeCell ref="I1741:J1741"/>
    <mergeCell ref="I1751:J1751"/>
    <mergeCell ref="K1751:L1751"/>
    <mergeCell ref="K1733:L1733"/>
    <mergeCell ref="C1734:D1734"/>
    <mergeCell ref="E1734:F1734"/>
    <mergeCell ref="G1734:H1734"/>
    <mergeCell ref="I1734:J1734"/>
    <mergeCell ref="K1734:L1734"/>
    <mergeCell ref="K1744:L1744"/>
    <mergeCell ref="C1745:D1745"/>
    <mergeCell ref="E1745:F1745"/>
    <mergeCell ref="G1745:H1745"/>
    <mergeCell ref="I1745:J1745"/>
    <mergeCell ref="K1745:L1745"/>
    <mergeCell ref="K1742:L1742"/>
    <mergeCell ref="C1743:D1743"/>
    <mergeCell ref="E1743:F1743"/>
    <mergeCell ref="E1747:F1747"/>
    <mergeCell ref="G1740:H1740"/>
    <mergeCell ref="I1740:J1740"/>
    <mergeCell ref="E1738:F1738"/>
    <mergeCell ref="G1738:H1738"/>
    <mergeCell ref="I1738:J1738"/>
    <mergeCell ref="K1738:L1738"/>
    <mergeCell ref="E1735:F1735"/>
    <mergeCell ref="G1735:H1735"/>
    <mergeCell ref="I1735:J1735"/>
    <mergeCell ref="K1752:L1752"/>
    <mergeCell ref="E1750:F1750"/>
    <mergeCell ref="G1750:H1750"/>
    <mergeCell ref="E1737:F1737"/>
    <mergeCell ref="G1737:H1737"/>
    <mergeCell ref="I1737:J1737"/>
    <mergeCell ref="K1737:L1737"/>
    <mergeCell ref="K1741:L1741"/>
    <mergeCell ref="E1742:F1742"/>
    <mergeCell ref="G1742:H1742"/>
    <mergeCell ref="I1742:J1742"/>
    <mergeCell ref="I1748:J1748"/>
    <mergeCell ref="K1748:L1748"/>
    <mergeCell ref="C1749:D1749"/>
    <mergeCell ref="E1749:F1749"/>
    <mergeCell ref="G1749:H1749"/>
    <mergeCell ref="I1749:J1749"/>
    <mergeCell ref="K1749:L1749"/>
    <mergeCell ref="G1743:H1743"/>
    <mergeCell ref="I1743:J1743"/>
    <mergeCell ref="G1747:H1747"/>
    <mergeCell ref="I1747:J1747"/>
    <mergeCell ref="K1747:L1747"/>
    <mergeCell ref="C1748:D1748"/>
    <mergeCell ref="E1748:F1748"/>
    <mergeCell ref="G1748:H1748"/>
    <mergeCell ref="C1752:D1752"/>
    <mergeCell ref="E1752:F1752"/>
    <mergeCell ref="G1752:H1752"/>
    <mergeCell ref="I1752:J1752"/>
    <mergeCell ref="C1740:D1740"/>
    <mergeCell ref="E1740:F1740"/>
    <mergeCell ref="G1755:H1755"/>
    <mergeCell ref="I1755:J1755"/>
    <mergeCell ref="K1755:L1755"/>
    <mergeCell ref="E1765:F1765"/>
    <mergeCell ref="G1765:H1765"/>
    <mergeCell ref="I1765:J1765"/>
    <mergeCell ref="K1765:L1765"/>
    <mergeCell ref="B1753:B1759"/>
    <mergeCell ref="E1757:F1757"/>
    <mergeCell ref="C1759:D1759"/>
    <mergeCell ref="K1757:L1757"/>
    <mergeCell ref="C1758:D1758"/>
    <mergeCell ref="E1758:F1758"/>
    <mergeCell ref="E1761:F1761"/>
    <mergeCell ref="G1761:H1761"/>
    <mergeCell ref="I1761:J1761"/>
    <mergeCell ref="K1761:L1761"/>
    <mergeCell ref="E1759:F1759"/>
    <mergeCell ref="G1759:H1759"/>
    <mergeCell ref="G1764:H1764"/>
    <mergeCell ref="I1764:J1764"/>
    <mergeCell ref="K1764:L1764"/>
    <mergeCell ref="I1759:J1759"/>
    <mergeCell ref="G1757:H1757"/>
    <mergeCell ref="I1757:J1757"/>
    <mergeCell ref="I1754:J1754"/>
    <mergeCell ref="C1756:D1756"/>
    <mergeCell ref="E1756:F1756"/>
    <mergeCell ref="G1756:H1756"/>
    <mergeCell ref="E1764:F1764"/>
    <mergeCell ref="G1766:H1766"/>
    <mergeCell ref="I1766:J1766"/>
    <mergeCell ref="K1766:L1766"/>
    <mergeCell ref="E1763:F1763"/>
    <mergeCell ref="G1763:H1763"/>
    <mergeCell ref="I1763:J1763"/>
    <mergeCell ref="K1763:L1763"/>
    <mergeCell ref="I1750:J1750"/>
    <mergeCell ref="K1750:L1750"/>
    <mergeCell ref="E1751:F1751"/>
    <mergeCell ref="G1751:H1751"/>
    <mergeCell ref="E1754:F1754"/>
    <mergeCell ref="G1754:H1754"/>
    <mergeCell ref="K1743:L1743"/>
    <mergeCell ref="C1744:D1744"/>
    <mergeCell ref="E1744:F1744"/>
    <mergeCell ref="G1744:H1744"/>
    <mergeCell ref="I1744:J1744"/>
    <mergeCell ref="G1758:H1758"/>
    <mergeCell ref="I1758:J1758"/>
    <mergeCell ref="K1758:L1758"/>
    <mergeCell ref="C1751:D1751"/>
    <mergeCell ref="C1754:D1754"/>
    <mergeCell ref="E1762:F1762"/>
    <mergeCell ref="G1762:H1762"/>
    <mergeCell ref="I1762:J1762"/>
    <mergeCell ref="K1762:L1762"/>
    <mergeCell ref="I1756:J1756"/>
    <mergeCell ref="K1756:L1756"/>
    <mergeCell ref="C1757:D1757"/>
    <mergeCell ref="K1759:L1759"/>
    <mergeCell ref="K1754:L1754"/>
    <mergeCell ref="E1766:F1766"/>
    <mergeCell ref="C1755:D1755"/>
    <mergeCell ref="E1755:F1755"/>
    <mergeCell ref="C1727:D1727"/>
    <mergeCell ref="E1727:F1727"/>
    <mergeCell ref="B1718:B1724"/>
    <mergeCell ref="C1719:D1719"/>
    <mergeCell ref="E1719:F1719"/>
    <mergeCell ref="E1702:F1702"/>
    <mergeCell ref="E1707:F1707"/>
    <mergeCell ref="B1683:B1689"/>
    <mergeCell ref="C1684:D1684"/>
    <mergeCell ref="E1684:F1684"/>
    <mergeCell ref="C1652:D1652"/>
    <mergeCell ref="B1655:B1661"/>
    <mergeCell ref="C1656:D1656"/>
    <mergeCell ref="C1702:D1702"/>
    <mergeCell ref="C1678:D1678"/>
    <mergeCell ref="E1678:F1678"/>
    <mergeCell ref="C1670:D1670"/>
    <mergeCell ref="E1670:F1670"/>
    <mergeCell ref="C1663:D1663"/>
    <mergeCell ref="E1663:F1663"/>
    <mergeCell ref="C1657:D1657"/>
    <mergeCell ref="E1657:F1657"/>
    <mergeCell ref="B1739:B1745"/>
    <mergeCell ref="C1717:D1717"/>
    <mergeCell ref="E1717:F1717"/>
    <mergeCell ref="C1659:D1659"/>
    <mergeCell ref="E1659:F1659"/>
    <mergeCell ref="C1726:D1726"/>
    <mergeCell ref="E1656:F1656"/>
    <mergeCell ref="C1773:D1773"/>
    <mergeCell ref="C1761:D1761"/>
    <mergeCell ref="C1765:D1765"/>
    <mergeCell ref="C1705:D1705"/>
    <mergeCell ref="C1709:D1709"/>
    <mergeCell ref="C1689:D1689"/>
    <mergeCell ref="C1762:D1762"/>
    <mergeCell ref="C1763:D1763"/>
    <mergeCell ref="C1750:D1750"/>
    <mergeCell ref="C1738:D1738"/>
    <mergeCell ref="B1634:B1647"/>
    <mergeCell ref="B1662:B1675"/>
    <mergeCell ref="B1697:B1710"/>
    <mergeCell ref="B1725:B1738"/>
    <mergeCell ref="B1760:B1773"/>
    <mergeCell ref="C1768:D1768"/>
    <mergeCell ref="C1769:D1769"/>
    <mergeCell ref="C1770:D1770"/>
    <mergeCell ref="C1771:D1771"/>
    <mergeCell ref="C1772:D1772"/>
    <mergeCell ref="C1766:D1766"/>
    <mergeCell ref="B1746:B1752"/>
    <mergeCell ref="C1747:D1747"/>
    <mergeCell ref="B1711:B1717"/>
    <mergeCell ref="C1712:D1712"/>
    <mergeCell ref="B1690:B1696"/>
    <mergeCell ref="C1691:D1691"/>
    <mergeCell ref="B1676:B1682"/>
    <mergeCell ref="C1677:D1677"/>
    <mergeCell ref="B1648:B1654"/>
    <mergeCell ref="C1649:D1649"/>
    <mergeCell ref="C1636:D1636"/>
    <mergeCell ref="B1480:B1486"/>
    <mergeCell ref="B1487:B1493"/>
    <mergeCell ref="B1452:B1465"/>
    <mergeCell ref="B1515:B1528"/>
    <mergeCell ref="B1543:B1556"/>
    <mergeCell ref="B1571:B1584"/>
    <mergeCell ref="B1606:B1619"/>
    <mergeCell ref="C1611:D1611"/>
    <mergeCell ref="C1551:D1551"/>
    <mergeCell ref="C1555:D1555"/>
    <mergeCell ref="C1535:D1535"/>
    <mergeCell ref="C1491:D1491"/>
    <mergeCell ref="C1764:D1764"/>
    <mergeCell ref="C1742:D1742"/>
    <mergeCell ref="C1733:D1733"/>
    <mergeCell ref="C1735:D1735"/>
    <mergeCell ref="C1737:D1737"/>
    <mergeCell ref="C1629:D1629"/>
    <mergeCell ref="B1620:B1626"/>
    <mergeCell ref="C1621:D1621"/>
    <mergeCell ref="B1627:B1633"/>
    <mergeCell ref="B1599:B1605"/>
    <mergeCell ref="C1600:D1600"/>
    <mergeCell ref="B1585:B1591"/>
    <mergeCell ref="C1586:D1586"/>
    <mergeCell ref="B1592:B1598"/>
    <mergeCell ref="B1557:B1563"/>
    <mergeCell ref="C1558:D1558"/>
    <mergeCell ref="B1536:B1542"/>
    <mergeCell ref="C1537:D1537"/>
    <mergeCell ref="B1529:B1535"/>
    <mergeCell ref="C1530:D1530"/>
  </mergeCells>
  <conditionalFormatting sqref="C1767:D1773 C1641:L1641 C1642:D1642 G1642:L1642 C1643:L1766">
    <cfRule type="containsText" priority="406" stopIfTrue="1" operator="containsText" text="ü">
      <formula>NOT(ISERROR(SEARCH("ü",C1641)))</formula>
    </cfRule>
    <cfRule type="containsText" dxfId="157" priority="1038" stopIfTrue="1" operator="containsText" text=" ">
      <formula>NOT(ISERROR(SEARCH(" ",C1641)))</formula>
    </cfRule>
    <cfRule type="containsText" dxfId="156" priority="1039" operator="containsText" text="@">
      <formula>NOT(ISERROR(SEARCH("@",C1641)))</formula>
    </cfRule>
    <cfRule type="containsText" dxfId="155" priority="1040" operator="containsText" text="!!">
      <formula>NOT(ISERROR(SEARCH("!!",C1641)))</formula>
    </cfRule>
    <cfRule type="expression" dxfId="154" priority="1041">
      <formula>SUM(COUNTIF(C1641,"*"&amp;RedWhiteList&amp;"*"))</formula>
    </cfRule>
    <cfRule type="containsText" dxfId="153" priority="1042" operator="containsText" text="|">
      <formula>NOT(ISERROR(SEARCH("|",C1641)))</formula>
    </cfRule>
    <cfRule type="containsText" dxfId="152" priority="1043" operator="containsText" text="4X">
      <formula>NOT(ISERROR(SEARCH("4X",C1641)))</formula>
    </cfRule>
    <cfRule type="containsText" dxfId="151" priority="1044" operator="containsText" text="3X">
      <formula>NOT(ISERROR(SEARCH("3X",C1641)))</formula>
    </cfRule>
    <cfRule type="containsText" dxfId="150" priority="1045" operator="containsText" text="Application">
      <formula>NOT(ISERROR(SEARCH("Application",C1641)))</formula>
    </cfRule>
    <cfRule type="expression" dxfId="149" priority="1046">
      <formula>SUM(COUNTIF(C1641,"*"&amp;BlueList&amp;"*"))</formula>
    </cfRule>
    <cfRule type="expression" dxfId="148" priority="1047">
      <formula>SUM(COUNTIF(C1641,"*"&amp;RedList&amp;"*"))</formula>
    </cfRule>
    <cfRule type="expression" dxfId="147" priority="1048">
      <formula>SUM(COUNTIF(C1641,"*"&amp;GreenList&amp;"*"))</formula>
    </cfRule>
    <cfRule type="containsText" dxfId="146" priority="1049" operator="containsText" text="Appeal Brief">
      <formula>NOT(ISERROR(SEARCH("Appeal Brief",C1641)))</formula>
    </cfRule>
    <cfRule type="containsText" dxfId="145" priority="1050" operator="containsText" text="After Final">
      <formula>NOT(ISERROR(SEARCH("After Final",C1641)))</formula>
    </cfRule>
    <cfRule type="containsText" dxfId="144" priority="1051" operator="containsText" text="Prelim">
      <formula>NOT(ISERROR(SEARCH("Prelim",C1641)))</formula>
    </cfRule>
  </conditionalFormatting>
  <conditionalFormatting sqref="E1642:F1642">
    <cfRule type="containsText" priority="1" stopIfTrue="1" operator="containsText" text="ü">
      <formula>NOT(ISERROR(SEARCH("ü",E1642)))</formula>
    </cfRule>
    <cfRule type="containsText" dxfId="143" priority="2" stopIfTrue="1" operator="containsText" text=" ">
      <formula>NOT(ISERROR(SEARCH(" ",E1642)))</formula>
    </cfRule>
    <cfRule type="containsText" dxfId="142" priority="3" operator="containsText" text="@">
      <formula>NOT(ISERROR(SEARCH("@",E1642)))</formula>
    </cfRule>
    <cfRule type="containsText" dxfId="141" priority="4" operator="containsText" text="!!">
      <formula>NOT(ISERROR(SEARCH("!!",E1642)))</formula>
    </cfRule>
    <cfRule type="expression" dxfId="140" priority="5">
      <formula>SUM(COUNTIF(E1642,"*"&amp;RedWhiteList&amp;"*"))</formula>
    </cfRule>
    <cfRule type="containsText" dxfId="139" priority="6" operator="containsText" text="|">
      <formula>NOT(ISERROR(SEARCH("|",E1642)))</formula>
    </cfRule>
    <cfRule type="containsText" dxfId="138" priority="7" operator="containsText" text="4X">
      <formula>NOT(ISERROR(SEARCH("4X",E1642)))</formula>
    </cfRule>
    <cfRule type="containsText" dxfId="137" priority="8" operator="containsText" text="3X">
      <formula>NOT(ISERROR(SEARCH("3X",E1642)))</formula>
    </cfRule>
    <cfRule type="containsText" dxfId="136" priority="9" operator="containsText" text="Application">
      <formula>NOT(ISERROR(SEARCH("Application",E1642)))</formula>
    </cfRule>
    <cfRule type="expression" dxfId="135" priority="10">
      <formula>SUM(COUNTIF(E1642,"*"&amp;BlueList&amp;"*"))</formula>
    </cfRule>
    <cfRule type="expression" dxfId="134" priority="11">
      <formula>SUM(COUNTIF(E1642,"*"&amp;RedList&amp;"*"))</formula>
    </cfRule>
    <cfRule type="expression" dxfId="133" priority="12">
      <formula>SUM(COUNTIF(E1642,"*"&amp;GreenList&amp;"*"))</formula>
    </cfRule>
    <cfRule type="containsText" dxfId="132" priority="13" operator="containsText" text="Appeal Brief">
      <formula>NOT(ISERROR(SEARCH("Appeal Brief",E1642)))</formula>
    </cfRule>
    <cfRule type="containsText" dxfId="131" priority="14" operator="containsText" text="After Final">
      <formula>NOT(ISERROR(SEARCH("After Final",E1642)))</formula>
    </cfRule>
    <cfRule type="containsText" dxfId="130" priority="15" operator="containsText" text="Prelim">
      <formula>NOT(ISERROR(SEARCH("Prelim",E1642)))</formula>
    </cfRule>
  </conditionalFormatting>
  <printOptions horizontalCentered="1"/>
  <pageMargins left="0.7" right="0.7" top="0.75" bottom="0.75" header="0.3" footer="0.3"/>
  <pageSetup scale="10" orientation="landscape" r:id="rId1"/>
  <drawing r:id="rId2"/>
  <legacyDrawing r:id="rId3"/>
  <controls>
    <mc:AlternateContent xmlns:mc="http://schemas.openxmlformats.org/markup-compatibility/2006">
      <mc:Choice Requires="x14">
        <control shapeId="17299" r:id="rId4" name="COLUMN_L_3_BUTTON">
          <controlPr defaultSize="0" autoLine="0" r:id="rId5">
            <anchor>
              <from>
                <xdr:col>11</xdr:col>
                <xdr:colOff>1466850</xdr:colOff>
                <xdr:row>0</xdr:row>
                <xdr:rowOff>0</xdr:rowOff>
              </from>
              <to>
                <xdr:col>12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7299" r:id="rId4" name="COLUMN_L_3_BUTTON"/>
      </mc:Fallback>
    </mc:AlternateContent>
    <mc:AlternateContent xmlns:mc="http://schemas.openxmlformats.org/markup-compatibility/2006">
      <mc:Choice Requires="x14">
        <control shapeId="17295" r:id="rId6" name="ROW2_COLUMN_B">
          <controlPr defaultSize="0" autoLine="0" r:id="rId7">
            <anchor moveWithCells="1" sizeWithCells="1">
              <from>
                <xdr:col>0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7295" r:id="rId6" name="ROW2_COLUMN_B"/>
      </mc:Fallback>
    </mc:AlternateContent>
    <mc:AlternateContent xmlns:mc="http://schemas.openxmlformats.org/markup-compatibility/2006">
      <mc:Choice Requires="x14">
        <control shapeId="17045" r:id="rId8" name="COLUMN_C_BUTTON">
          <controlPr defaultSize="0" autoLine="0" r:id="rId9">
            <anchor>
              <from>
                <xdr:col>2</xdr:col>
                <xdr:colOff>0</xdr:colOff>
                <xdr:row>0</xdr:row>
                <xdr:rowOff>0</xdr:rowOff>
              </from>
              <to>
                <xdr:col>3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7045" r:id="rId8" name="COLUMN_C_BUTTON"/>
      </mc:Fallback>
    </mc:AlternateContent>
    <mc:AlternateContent xmlns:mc="http://schemas.openxmlformats.org/markup-compatibility/2006">
      <mc:Choice Requires="x14">
        <control shapeId="16698" r:id="rId10" name="COLUMN_L_1_BUTTON">
          <controlPr defaultSize="0" autoLine="0" r:id="rId9">
            <anchor>
              <from>
                <xdr:col>11</xdr:col>
                <xdr:colOff>981075</xdr:colOff>
                <xdr:row>0</xdr:row>
                <xdr:rowOff>0</xdr:rowOff>
              </from>
              <to>
                <xdr:col>11</xdr:col>
                <xdr:colOff>1466850</xdr:colOff>
                <xdr:row>1</xdr:row>
                <xdr:rowOff>0</xdr:rowOff>
              </to>
            </anchor>
          </controlPr>
        </control>
      </mc:Choice>
      <mc:Fallback>
        <control shapeId="16698" r:id="rId10" name="COLUMN_L_1_BUTTON"/>
      </mc:Fallback>
    </mc:AlternateContent>
    <mc:AlternateContent xmlns:mc="http://schemas.openxmlformats.org/markup-compatibility/2006">
      <mc:Choice Requires="x14">
        <control shapeId="16697" r:id="rId11" name="COLUMN_L_2_BUTTON">
          <controlPr defaultSize="0" autoLine="0" r:id="rId12">
            <anchor moveWithCells="1" sizeWithCells="1">
              <from>
                <xdr:col>11</xdr:col>
                <xdr:colOff>495300</xdr:colOff>
                <xdr:row>0</xdr:row>
                <xdr:rowOff>0</xdr:rowOff>
              </from>
              <to>
                <xdr:col>11</xdr:col>
                <xdr:colOff>981075</xdr:colOff>
                <xdr:row>1</xdr:row>
                <xdr:rowOff>0</xdr:rowOff>
              </to>
            </anchor>
          </controlPr>
        </control>
      </mc:Choice>
      <mc:Fallback>
        <control shapeId="16697" r:id="rId11" name="COLUMN_L_2_BUTTON"/>
      </mc:Fallback>
    </mc:AlternateContent>
    <mc:AlternateContent xmlns:mc="http://schemas.openxmlformats.org/markup-compatibility/2006">
      <mc:Choice Requires="x14">
        <control shapeId="16696" r:id="rId13" name="COLUMN_D_2_BUTTON">
          <controlPr defaultSize="0" autoLine="0" r:id="rId9">
            <anchor>
              <from>
                <xdr:col>3</xdr:col>
                <xdr:colOff>485775</xdr:colOff>
                <xdr:row>0</xdr:row>
                <xdr:rowOff>0</xdr:rowOff>
              </from>
              <to>
                <xdr:col>3</xdr:col>
                <xdr:colOff>971550</xdr:colOff>
                <xdr:row>1</xdr:row>
                <xdr:rowOff>0</xdr:rowOff>
              </to>
            </anchor>
          </controlPr>
        </control>
      </mc:Choice>
      <mc:Fallback>
        <control shapeId="16696" r:id="rId13" name="COLUMN_D_2_BUTTON"/>
      </mc:Fallback>
    </mc:AlternateContent>
    <mc:AlternateContent xmlns:mc="http://schemas.openxmlformats.org/markup-compatibility/2006">
      <mc:Choice Requires="x14">
        <control shapeId="16694" r:id="rId14" name="COLUMN_B_BUTTON">
          <controlPr defaultSize="0" autoLine="0" r:id="rId9">
            <anchor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6694" r:id="rId14" name="COLUMN_B_BUTTON"/>
      </mc:Fallback>
    </mc:AlternateContent>
    <mc:AlternateContent xmlns:mc="http://schemas.openxmlformats.org/markup-compatibility/2006">
      <mc:Choice Requires="x14">
        <control shapeId="16693" r:id="rId15" name="WIDE_BAR">
          <controlPr defaultSize="0" autoLine="0" autoPict="0" altText="Toggles &quot;freeze panes&quot; on and off,." r:id="rId16">
            <anchor moveWithCells="1" sizeWithCells="1">
              <from>
                <xdr:col>3</xdr:col>
                <xdr:colOff>971550</xdr:colOff>
                <xdr:row>0</xdr:row>
                <xdr:rowOff>0</xdr:rowOff>
              </from>
              <to>
                <xdr:col>11</xdr:col>
                <xdr:colOff>495300</xdr:colOff>
                <xdr:row>1</xdr:row>
                <xdr:rowOff>0</xdr:rowOff>
              </to>
            </anchor>
          </controlPr>
        </control>
      </mc:Choice>
      <mc:Fallback>
        <control shapeId="16693" r:id="rId15" name="WIDE_BAR"/>
      </mc:Fallback>
    </mc:AlternateContent>
    <mc:AlternateContent xmlns:mc="http://schemas.openxmlformats.org/markup-compatibility/2006">
      <mc:Choice Requires="x14">
        <control shapeId="16692" r:id="rId17" name="FRIDAY">
          <controlPr defaultSize="0" print="0" autoLine="0" altText="No attached code. Decorative code." r:id="rId18">
            <anchor moveWithCells="1" sizeWithCells="1">
              <from>
                <xdr:col>10</xdr:col>
                <xdr:colOff>0</xdr:colOff>
                <xdr:row>1</xdr:row>
                <xdr:rowOff>0</xdr:rowOff>
              </from>
              <to>
                <xdr:col>12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6692" r:id="rId17" name="FRIDAY"/>
      </mc:Fallback>
    </mc:AlternateContent>
    <mc:AlternateContent xmlns:mc="http://schemas.openxmlformats.org/markup-compatibility/2006">
      <mc:Choice Requires="x14">
        <control shapeId="16691" r:id="rId19" name="THURSDAY">
          <controlPr defaultSize="0" print="0" autoLine="0" altText="No attached code. Decorative code." r:id="rId20">
            <anchor moveWithCells="1" sizeWithCells="1">
              <from>
                <xdr:col>8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6691" r:id="rId19" name="THURSDAY"/>
      </mc:Fallback>
    </mc:AlternateContent>
    <mc:AlternateContent xmlns:mc="http://schemas.openxmlformats.org/markup-compatibility/2006">
      <mc:Choice Requires="x14">
        <control shapeId="16690" r:id="rId21" name="WEDNESDAY">
          <controlPr defaultSize="0" print="0" autoLine="0" altText="No attached code. Decorative code." r:id="rId22">
            <anchor moveWithCells="1" sizeWithCells="1">
              <from>
                <xdr:col>6</xdr:col>
                <xdr:colOff>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6690" r:id="rId21" name="WEDNESDAY"/>
      </mc:Fallback>
    </mc:AlternateContent>
    <mc:AlternateContent xmlns:mc="http://schemas.openxmlformats.org/markup-compatibility/2006">
      <mc:Choice Requires="x14">
        <control shapeId="16689" r:id="rId23" name="TUESDAY">
          <controlPr defaultSize="0" print="0" autoLine="0" altText="No attached code. Decorative code." r:id="rId24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5</xdr:col>
                <xdr:colOff>1828800</xdr:colOff>
                <xdr:row>2</xdr:row>
                <xdr:rowOff>0</xdr:rowOff>
              </to>
            </anchor>
          </controlPr>
        </control>
      </mc:Choice>
      <mc:Fallback>
        <control shapeId="16689" r:id="rId23" name="TUESDAY"/>
      </mc:Fallback>
    </mc:AlternateContent>
    <mc:AlternateContent xmlns:mc="http://schemas.openxmlformats.org/markup-compatibility/2006">
      <mc:Choice Requires="x14">
        <control shapeId="16688" r:id="rId25" name="MONDAY">
          <controlPr defaultSize="0" print="0" autoLine="0" altText="No attached code. Decorative code." r:id="rId26">
            <anchor moveWithCells="1" sizeWithCells="1">
              <from>
                <xdr:col>2</xdr:col>
                <xdr:colOff>0</xdr:colOff>
                <xdr:row>1</xdr:row>
                <xdr:rowOff>0</xdr:rowOff>
              </from>
              <to>
                <xdr:col>4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6688" r:id="rId25" name="MONDAY"/>
      </mc:Fallback>
    </mc:AlternateContent>
    <mc:AlternateContent xmlns:mc="http://schemas.openxmlformats.org/markup-compatibility/2006">
      <mc:Choice Requires="x14">
        <control shapeId="17285" r:id="rId27" name="COLUMN_D_1_BUTTON">
          <controlPr defaultSize="0" autoLine="0" r:id="rId9">
            <anchor>
              <from>
                <xdr:col>3</xdr:col>
                <xdr:colOff>0</xdr:colOff>
                <xdr:row>0</xdr:row>
                <xdr:rowOff>0</xdr:rowOff>
              </from>
              <to>
                <xdr:col>3</xdr:col>
                <xdr:colOff>485775</xdr:colOff>
                <xdr:row>1</xdr:row>
                <xdr:rowOff>0</xdr:rowOff>
              </to>
            </anchor>
          </controlPr>
        </control>
      </mc:Choice>
      <mc:Fallback>
        <control shapeId="17285" r:id="rId27" name="COLUMN_D_1_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B79DA-3907-4C2F-962B-77C769A70780}">
  <sheetPr codeName="Sheet1B">
    <tabColor theme="0"/>
  </sheetPr>
  <dimension ref="A1:G80"/>
  <sheetViews>
    <sheetView zoomScale="106" zoomScaleNormal="106" workbookViewId="0">
      <pane ySplit="1" topLeftCell="A2" activePane="bottomLeft" state="frozenSplit"/>
      <selection sqref="A1 D26"/>
      <selection pane="bottomLeft"/>
    </sheetView>
  </sheetViews>
  <sheetFormatPr defaultColWidth="21" defaultRowHeight="12.75" x14ac:dyDescent="0.25"/>
  <cols>
    <col min="1" max="1" width="7.42578125" style="54" customWidth="1"/>
    <col min="2" max="2" width="11.42578125" style="52" customWidth="1"/>
    <col min="3" max="3" width="8" style="53" customWidth="1"/>
    <col min="4" max="4" width="7.42578125" style="53" customWidth="1"/>
    <col min="5" max="5" width="7.5703125" style="52" customWidth="1"/>
    <col min="6" max="6" width="83.42578125" style="51" customWidth="1"/>
    <col min="7" max="7" width="28.140625" style="50" customWidth="1"/>
    <col min="8" max="9" width="1.140625" style="49" customWidth="1"/>
    <col min="10" max="10" width="9.28515625" style="49" customWidth="1"/>
    <col min="11" max="11" width="35.42578125" style="49" customWidth="1"/>
    <col min="12" max="16384" width="21" style="49"/>
  </cols>
  <sheetData>
    <row r="1" spans="1:7" s="57" customFormat="1" ht="20.25" customHeight="1" x14ac:dyDescent="0.2">
      <c r="A1" s="69" t="s">
        <v>118</v>
      </c>
      <c r="B1" s="68" t="s">
        <v>159</v>
      </c>
      <c r="C1" s="67" t="s">
        <v>158</v>
      </c>
      <c r="D1" s="67" t="s">
        <v>157</v>
      </c>
      <c r="E1" s="66" t="s">
        <v>156</v>
      </c>
      <c r="F1" s="65"/>
      <c r="G1" s="64"/>
    </row>
    <row r="2" spans="1:7" s="57" customFormat="1" ht="0.75" customHeight="1" x14ac:dyDescent="0.2">
      <c r="A2" s="63"/>
      <c r="B2" s="62" t="s">
        <v>155</v>
      </c>
      <c r="C2" s="61" t="s">
        <v>155</v>
      </c>
      <c r="D2" s="61" t="s">
        <v>155</v>
      </c>
      <c r="E2" s="60" t="s">
        <v>155</v>
      </c>
      <c r="F2" s="59" t="s">
        <v>155</v>
      </c>
      <c r="G2" s="58"/>
    </row>
    <row r="3" spans="1:7" s="55" customFormat="1" x14ac:dyDescent="0.25">
      <c r="A3" s="299">
        <f t="shared" ref="A3" ca="1" si="0">IF(B3&lt;&gt;"",IF(A3="",TODAY(),A3),"")</f>
        <v>43339</v>
      </c>
      <c r="B3" s="300" t="s">
        <v>179</v>
      </c>
      <c r="C3" s="301">
        <v>0.92361111111111116</v>
      </c>
      <c r="D3" s="301"/>
      <c r="E3" s="302">
        <f t="shared" ref="E3" si="1">(((D3-C3)-INT(D3-C3))*24)</f>
        <v>1.8333333333333321</v>
      </c>
      <c r="F3" s="303" t="s">
        <v>180</v>
      </c>
      <c r="G3" s="56"/>
    </row>
    <row r="4" spans="1:7" s="55" customFormat="1" x14ac:dyDescent="0.25">
      <c r="A4" s="299">
        <f t="shared" ref="A4" ca="1" si="2">IF(B4&lt;&gt;"",IF(A4="",TODAY(),A4),"")</f>
        <v>43339</v>
      </c>
      <c r="B4" s="300" t="s">
        <v>179</v>
      </c>
      <c r="C4" s="301">
        <v>0.11805555555555557</v>
      </c>
      <c r="D4" s="301" t="s">
        <v>129</v>
      </c>
      <c r="E4" s="302" t="s">
        <v>129</v>
      </c>
      <c r="F4" s="303" t="s">
        <v>180</v>
      </c>
      <c r="G4" s="56"/>
    </row>
    <row r="5" spans="1:7" s="55" customFormat="1" x14ac:dyDescent="0.25">
      <c r="A5" s="299">
        <f t="shared" ref="A5" ca="1" si="3">IF(B5&lt;&gt;"",IF(A5="",TODAY(),A5),"")</f>
        <v>43336</v>
      </c>
      <c r="B5" s="300" t="s">
        <v>179</v>
      </c>
      <c r="C5" s="301">
        <v>43336.409525462965</v>
      </c>
      <c r="D5" s="301">
        <v>0.48194444444444445</v>
      </c>
      <c r="E5" s="302">
        <f t="shared" ref="E5" si="4">(((D5-C5)-INT(D5-C5))*24)</f>
        <v>1.7380555554991588</v>
      </c>
      <c r="F5" s="303" t="s">
        <v>180</v>
      </c>
      <c r="G5" s="56"/>
    </row>
    <row r="6" spans="1:7" s="55" customFormat="1" x14ac:dyDescent="0.25">
      <c r="A6" s="299">
        <f t="shared" ref="A6" ca="1" si="5">IF(B6&lt;&gt;"",IF(A6="",TODAY(),A6),"")</f>
        <v>43335</v>
      </c>
      <c r="B6" s="300" t="s">
        <v>179</v>
      </c>
      <c r="C6" s="301">
        <v>0.3888888888888889</v>
      </c>
      <c r="D6" s="301">
        <v>0.46527777777777773</v>
      </c>
      <c r="E6" s="302">
        <f t="shared" ref="E6" si="6">(((D6-C6)-INT(D6-C6))*24)</f>
        <v>1.8333333333333321</v>
      </c>
      <c r="F6" s="303" t="s">
        <v>180</v>
      </c>
      <c r="G6" s="56"/>
    </row>
    <row r="7" spans="1:7" s="55" customFormat="1" x14ac:dyDescent="0.25">
      <c r="A7" s="299">
        <f ca="1">IF(B7&lt;&gt;"",IF(A7="",TODAY(),A7),"")</f>
        <v>43322</v>
      </c>
      <c r="B7" s="300" t="s">
        <v>179</v>
      </c>
      <c r="C7" s="301">
        <v>0.125</v>
      </c>
      <c r="D7" s="301">
        <v>0.17916666666666667</v>
      </c>
      <c r="E7" s="302">
        <f>(((D7-C7)-INT(D7-C7))*24)</f>
        <v>1.3</v>
      </c>
      <c r="F7" s="303" t="s">
        <v>180</v>
      </c>
      <c r="G7" s="56"/>
    </row>
    <row r="8" spans="1:7" s="55" customFormat="1" x14ac:dyDescent="0.25">
      <c r="A8" s="294">
        <f ca="1">IF(B8&lt;&gt;"",IF(A8="",TODAY(),A8),"")</f>
        <v>43322</v>
      </c>
      <c r="B8" s="295" t="s">
        <v>179</v>
      </c>
      <c r="C8" s="296">
        <v>0.48888888888888887</v>
      </c>
      <c r="D8" s="296">
        <v>0.51527777777777783</v>
      </c>
      <c r="E8" s="297">
        <f>(((D8-C8)-INT(D8-C8))*24)</f>
        <v>0.63333333333333508</v>
      </c>
      <c r="F8" s="298" t="s">
        <v>180</v>
      </c>
      <c r="G8" s="56"/>
    </row>
    <row r="9" spans="1:7" s="55" customFormat="1" x14ac:dyDescent="0.25">
      <c r="A9" s="294">
        <f ca="1">IF(B9&lt;&gt;"",IF(A9="",TODAY(),A9),"")</f>
        <v>43320</v>
      </c>
      <c r="B9" s="295" t="s">
        <v>179</v>
      </c>
      <c r="C9" s="296">
        <v>0.17847222222222223</v>
      </c>
      <c r="D9" s="296">
        <v>0.18333333333333335</v>
      </c>
      <c r="E9" s="297">
        <f>(((D9-C9)-INT(D9-C9))*24)</f>
        <v>0.11666666666666692</v>
      </c>
      <c r="F9" s="298" t="s">
        <v>180</v>
      </c>
      <c r="G9" s="56"/>
    </row>
    <row r="10" spans="1:7" s="55" customFormat="1" x14ac:dyDescent="0.25">
      <c r="A10" s="294">
        <f ca="1">IF(B10&lt;&gt;"",IF(A10="",TODAY(),A10),"")</f>
        <v>43319</v>
      </c>
      <c r="B10" s="295" t="s">
        <v>179</v>
      </c>
      <c r="C10" s="296">
        <v>0.79722222222222217</v>
      </c>
      <c r="D10" s="296">
        <v>0.81874999999999998</v>
      </c>
      <c r="E10" s="297">
        <f>(((D10-C10)-INT(D10-C10))*24)</f>
        <v>0.5166666666666675</v>
      </c>
      <c r="F10" s="298" t="s">
        <v>180</v>
      </c>
      <c r="G10" s="56"/>
    </row>
    <row r="11" spans="1:7" s="55" customFormat="1" x14ac:dyDescent="0.25">
      <c r="A11" s="116">
        <f t="shared" ref="A11" ca="1" si="7">IF(B11&lt;&gt;"",IF(A11="",TODAY(),A11),"")</f>
        <v>43338</v>
      </c>
      <c r="B11" s="117" t="s">
        <v>179</v>
      </c>
      <c r="C11" s="118">
        <v>0.9819444444444444</v>
      </c>
      <c r="D11" s="118">
        <v>6.9444444444444434E-2</v>
      </c>
      <c r="E11" s="119">
        <f t="shared" ref="E11" si="8">(((D11-C11)-INT(D11-C11))*24)</f>
        <v>2.1000000000000005</v>
      </c>
      <c r="F11" s="293" t="s">
        <v>180</v>
      </c>
      <c r="G11" s="56"/>
    </row>
    <row r="12" spans="1:7" s="55" customFormat="1" x14ac:dyDescent="0.25">
      <c r="A12" s="116">
        <f ca="1">IF(B12&lt;&gt;"",IF(A12="",TODAY(),A12),"")</f>
        <v>43325</v>
      </c>
      <c r="B12" s="117" t="s">
        <v>179</v>
      </c>
      <c r="C12" s="118">
        <v>7.3611111111111113E-2</v>
      </c>
      <c r="D12" s="118">
        <v>0.10416666666666667</v>
      </c>
      <c r="E12" s="119">
        <f>(((D12-C12)-INT(D12-C12))*24)</f>
        <v>0.73333333333333339</v>
      </c>
      <c r="F12" s="293" t="s">
        <v>180</v>
      </c>
      <c r="G12" s="56"/>
    </row>
    <row r="13" spans="1:7" s="55" customFormat="1" x14ac:dyDescent="0.25">
      <c r="A13" s="116">
        <f t="shared" ref="A13" ca="1" si="9">IF(B13&lt;&gt;"",IF(A13="",TODAY(),A13),"")</f>
        <v>43338</v>
      </c>
      <c r="B13" s="117" t="s">
        <v>179</v>
      </c>
      <c r="C13" s="118">
        <v>0.83333333333333337</v>
      </c>
      <c r="D13" s="118">
        <v>0.98055555555555562</v>
      </c>
      <c r="E13" s="119">
        <f t="shared" ref="E13" si="10">(((D13-C13)-INT(D13-C13))*24)</f>
        <v>3.5333333333333341</v>
      </c>
      <c r="F13" s="120" t="s">
        <v>180</v>
      </c>
      <c r="G13" s="56"/>
    </row>
    <row r="14" spans="1:7" s="55" customFormat="1" x14ac:dyDescent="0.25">
      <c r="A14" s="116">
        <f t="shared" ref="A14" ca="1" si="11">IF(B14&lt;&gt;"",IF(A14="",TODAY(),A14),"")</f>
        <v>43335</v>
      </c>
      <c r="B14" s="117" t="s">
        <v>179</v>
      </c>
      <c r="C14" s="118">
        <v>0.34583333333333338</v>
      </c>
      <c r="D14" s="118">
        <v>43335.365520833337</v>
      </c>
      <c r="E14" s="119">
        <f t="shared" ref="E14" si="12">(((D14-C14)-INT(D14-C14))*24)</f>
        <v>0.47250000009080395</v>
      </c>
      <c r="F14" s="120" t="s">
        <v>180</v>
      </c>
      <c r="G14" s="56"/>
    </row>
    <row r="15" spans="1:7" s="55" customFormat="1" x14ac:dyDescent="0.25">
      <c r="A15" s="116">
        <v>43311</v>
      </c>
      <c r="B15" s="117" t="s">
        <v>179</v>
      </c>
      <c r="C15" s="291">
        <v>0.60416666666666663</v>
      </c>
      <c r="D15" s="291">
        <v>0.62222222222222223</v>
      </c>
      <c r="E15" s="119">
        <f>(((D15-C15)-INT(D15-C15))*24)</f>
        <v>0.43333333333333446</v>
      </c>
      <c r="F15" s="120" t="s">
        <v>180</v>
      </c>
      <c r="G15" s="56"/>
    </row>
    <row r="16" spans="1:7" s="55" customFormat="1" x14ac:dyDescent="0.25">
      <c r="A16" s="116">
        <f t="shared" ref="A16" ca="1" si="13">IF(B16&lt;&gt;"",IF(A16="",TODAY(),A16),"")</f>
        <v>43306</v>
      </c>
      <c r="B16" s="117" t="s">
        <v>179</v>
      </c>
      <c r="C16" s="291">
        <v>0.87569444444444444</v>
      </c>
      <c r="D16" s="291">
        <v>5.8333333333333327E-2</v>
      </c>
      <c r="E16" s="119">
        <f>(((D16-C16)-INT(D16-C16))*24)+0.3+0.2</f>
        <v>4.8833333333333337</v>
      </c>
      <c r="F16" s="120" t="s">
        <v>180</v>
      </c>
      <c r="G16" s="56"/>
    </row>
    <row r="17" spans="1:7" s="55" customFormat="1" x14ac:dyDescent="0.25">
      <c r="A17" s="116">
        <f ca="1">IF(B17&lt;&gt;"",IF(A17="",TODAY(),A17),"")</f>
        <v>43323</v>
      </c>
      <c r="B17" s="117" t="s">
        <v>179</v>
      </c>
      <c r="C17" s="291">
        <v>0.76180555555555562</v>
      </c>
      <c r="D17" s="291">
        <v>0.28125</v>
      </c>
      <c r="E17" s="119">
        <f>(((D17-C17)-INT(D17-C17))*24)</f>
        <v>12.466666666666665</v>
      </c>
      <c r="F17" s="120" t="s">
        <v>180</v>
      </c>
      <c r="G17" s="56"/>
    </row>
    <row r="18" spans="1:7" s="55" customFormat="1" x14ac:dyDescent="0.25">
      <c r="A18" s="116">
        <f t="shared" ref="A18" ca="1" si="14">IF(B18&lt;&gt;"",IF(A18="",TODAY(),A18),"")</f>
        <v>43324</v>
      </c>
      <c r="B18" s="117" t="s">
        <v>179</v>
      </c>
      <c r="C18" s="118">
        <v>0.79513888888888884</v>
      </c>
      <c r="D18" s="118">
        <v>0.79999999999999993</v>
      </c>
      <c r="E18" s="119">
        <f t="shared" ref="E18" si="15">(((D18-C18)-INT(D18-C18))*24)</f>
        <v>0.11666666666666625</v>
      </c>
      <c r="F18" s="120" t="s">
        <v>180</v>
      </c>
      <c r="G18" s="56"/>
    </row>
    <row r="19" spans="1:7" s="55" customFormat="1" x14ac:dyDescent="0.25">
      <c r="A19" s="116">
        <f ca="1">IF(B19&lt;&gt;"",IF(A19="",TODAY(),A19),"")</f>
        <v>43324</v>
      </c>
      <c r="B19" s="117" t="s">
        <v>179</v>
      </c>
      <c r="C19" s="291">
        <v>0.5</v>
      </c>
      <c r="D19" s="291">
        <v>0.57986111111111105</v>
      </c>
      <c r="E19" s="119">
        <f>(((D19-C19)-INT(D19-C19))*24)</f>
        <v>1.9166666666666652</v>
      </c>
      <c r="F19" s="120" t="s">
        <v>180</v>
      </c>
      <c r="G19" s="56"/>
    </row>
    <row r="20" spans="1:7" s="55" customFormat="1" x14ac:dyDescent="0.25">
      <c r="A20" s="116">
        <f ca="1">IF(B20&lt;&gt;"",IF(A20="",TODAY(),A20),"")</f>
        <v>43322</v>
      </c>
      <c r="B20" s="117" t="s">
        <v>179</v>
      </c>
      <c r="C20" s="291">
        <v>0.54166666666666663</v>
      </c>
      <c r="D20" s="291">
        <v>0.61805555555555558</v>
      </c>
      <c r="E20" s="119">
        <f>(((D20-C20)-INT(D20-C20))*24)</f>
        <v>1.8333333333333348</v>
      </c>
      <c r="F20" s="120" t="s">
        <v>180</v>
      </c>
      <c r="G20" s="56"/>
    </row>
    <row r="21" spans="1:7" s="55" customFormat="1" x14ac:dyDescent="0.25">
      <c r="A21" s="116">
        <f t="shared" ref="A21" ca="1" si="16">IF(B21&lt;&gt;"",IF(A21="",TODAY(),A21),"")</f>
        <v>43320</v>
      </c>
      <c r="B21" s="117" t="s">
        <v>179</v>
      </c>
      <c r="C21" s="291">
        <v>0.14722222222222223</v>
      </c>
      <c r="D21" s="291">
        <v>0.17847222222222223</v>
      </c>
      <c r="E21" s="119">
        <f>(((D21-C21)-INT(D21-C21))*24)+1.3</f>
        <v>2.0499999999999998</v>
      </c>
      <c r="F21" s="120" t="s">
        <v>180</v>
      </c>
      <c r="G21" s="56"/>
    </row>
    <row r="22" spans="1:7" s="55" customFormat="1" x14ac:dyDescent="0.25">
      <c r="A22" s="116">
        <f ca="1">IF(B22&lt;&gt;"",IF(A22="",TODAY(),A22),"")</f>
        <v>43318</v>
      </c>
      <c r="B22" s="117" t="s">
        <v>179</v>
      </c>
      <c r="C22" s="291">
        <v>0.88888888888888884</v>
      </c>
      <c r="D22" s="291">
        <v>43318.956087962964</v>
      </c>
      <c r="E22" s="119">
        <f>(((D22-C22)-INT(D22-C22))*24)</f>
        <v>1.6127777777728625</v>
      </c>
      <c r="F22" s="120" t="s">
        <v>180</v>
      </c>
      <c r="G22" s="56"/>
    </row>
    <row r="23" spans="1:7" s="55" customFormat="1" x14ac:dyDescent="0.25">
      <c r="A23" s="116">
        <f t="shared" ref="A23" ca="1" si="17">IF(B23&lt;&gt;"",IF(A23="",TODAY(),A23),"")</f>
        <v>43324</v>
      </c>
      <c r="B23" s="117" t="s">
        <v>179</v>
      </c>
      <c r="C23" s="118">
        <v>0.29583333333333334</v>
      </c>
      <c r="D23" s="118">
        <v>0.32500000000000001</v>
      </c>
      <c r="E23" s="119">
        <f t="shared" ref="E23" si="18">(((D23-C23)-INT(D23-C23))*24)</f>
        <v>0.70000000000000018</v>
      </c>
      <c r="F23" s="120" t="s">
        <v>180</v>
      </c>
      <c r="G23" s="56"/>
    </row>
    <row r="24" spans="1:7" s="55" customFormat="1" x14ac:dyDescent="0.25">
      <c r="A24" s="116">
        <f t="shared" ref="A24" ca="1" si="19">IF(B24&lt;&gt;"",IF(A24="",TODAY(),A24),"")</f>
        <v>43323</v>
      </c>
      <c r="B24" s="117" t="s">
        <v>179</v>
      </c>
      <c r="C24" s="118">
        <v>0.12847222222222224</v>
      </c>
      <c r="D24" s="118">
        <v>0.16388888888888889</v>
      </c>
      <c r="E24" s="119">
        <f t="shared" ref="E24" si="20">(((D24-C24)-INT(D24-C24))*24)</f>
        <v>0.84999999999999964</v>
      </c>
      <c r="F24" s="120" t="s">
        <v>180</v>
      </c>
      <c r="G24" s="56"/>
    </row>
    <row r="25" spans="1:7" s="55" customFormat="1" x14ac:dyDescent="0.25">
      <c r="A25" s="116">
        <f t="shared" ref="A25" ca="1" si="21">IF(B25&lt;&gt;"",IF(A25="",TODAY(),A25),"")</f>
        <v>43323</v>
      </c>
      <c r="B25" s="117" t="s">
        <v>179</v>
      </c>
      <c r="C25" s="118">
        <v>0.11458333333333333</v>
      </c>
      <c r="D25" s="118">
        <v>0.12847222222222224</v>
      </c>
      <c r="E25" s="119">
        <f t="shared" ref="E25" si="22">(((D25-C25)-INT(D25-C25))*24)</f>
        <v>0.33333333333333381</v>
      </c>
      <c r="F25" s="120" t="s">
        <v>180</v>
      </c>
      <c r="G25" s="56"/>
    </row>
    <row r="26" spans="1:7" s="55" customFormat="1" x14ac:dyDescent="0.25">
      <c r="A26" s="116">
        <f t="shared" ref="A26" ca="1" si="23">IF(B26&lt;&gt;"",IF(A26="",TODAY(),A26),"")</f>
        <v>43322</v>
      </c>
      <c r="B26" s="117" t="s">
        <v>179</v>
      </c>
      <c r="C26" s="118">
        <v>0.30138888888888887</v>
      </c>
      <c r="D26" s="118">
        <v>0.3125</v>
      </c>
      <c r="E26" s="119">
        <f>(((D26-C26)-INT(D26-C26))*24)+0.1</f>
        <v>0.36666666666666703</v>
      </c>
      <c r="F26" s="120" t="s">
        <v>180</v>
      </c>
      <c r="G26" s="56"/>
    </row>
    <row r="27" spans="1:7" s="55" customFormat="1" x14ac:dyDescent="0.25">
      <c r="A27" s="116">
        <f t="shared" ref="A27" ca="1" si="24">IF(B27&lt;&gt;"",IF(A27="",TODAY(),A27),"")</f>
        <v>43322</v>
      </c>
      <c r="B27" s="117" t="s">
        <v>179</v>
      </c>
      <c r="C27" s="118">
        <v>0.21180555555555555</v>
      </c>
      <c r="D27" s="118">
        <v>0.23055555555555554</v>
      </c>
      <c r="E27" s="119">
        <f t="shared" ref="E27" si="25">(((D27-C27)-INT(D27-C27))*24)</f>
        <v>0.44999999999999973</v>
      </c>
      <c r="F27" s="120" t="s">
        <v>180</v>
      </c>
      <c r="G27" s="56"/>
    </row>
    <row r="28" spans="1:7" s="55" customFormat="1" x14ac:dyDescent="0.25">
      <c r="A28" s="116">
        <f t="shared" ref="A28" ca="1" si="26">IF(B28&lt;&gt;"",IF(A28="",TODAY(),A28),"")</f>
        <v>43319</v>
      </c>
      <c r="B28" s="117" t="s">
        <v>179</v>
      </c>
      <c r="C28" s="118">
        <v>0.8305555555555556</v>
      </c>
      <c r="D28" s="118">
        <v>0.84652777777777777</v>
      </c>
      <c r="E28" s="119">
        <f t="shared" ref="E28" si="27">(((D28-C28)-INT(D28-C28))*24)</f>
        <v>0.38333333333333197</v>
      </c>
      <c r="F28" s="120" t="s">
        <v>180</v>
      </c>
      <c r="G28" s="56"/>
    </row>
    <row r="29" spans="1:7" s="55" customFormat="1" x14ac:dyDescent="0.25">
      <c r="A29" s="116">
        <f t="shared" ref="A29" ca="1" si="28">IF(B29&lt;&gt;"",IF(A29="",TODAY(),A29),"")</f>
        <v>43318</v>
      </c>
      <c r="B29" s="117" t="s">
        <v>179</v>
      </c>
      <c r="C29" s="118">
        <v>0.63402777777777775</v>
      </c>
      <c r="D29" s="118">
        <v>0.65833333333333333</v>
      </c>
      <c r="E29" s="119">
        <f>(((D29-C29)-INT(D29-C29))*24)+0.2</f>
        <v>0.78333333333333388</v>
      </c>
      <c r="F29" s="120" t="s">
        <v>180</v>
      </c>
      <c r="G29" s="56"/>
    </row>
    <row r="30" spans="1:7" s="55" customFormat="1" x14ac:dyDescent="0.25">
      <c r="A30" s="116">
        <f ca="1">IF(B30&lt;&gt;"",IF(A30="",TODAY(),A30),"")</f>
        <v>43318</v>
      </c>
      <c r="B30" s="117" t="s">
        <v>179</v>
      </c>
      <c r="C30" s="118">
        <v>43318.499085648145</v>
      </c>
      <c r="D30" s="118">
        <v>0.54166666666666663</v>
      </c>
      <c r="E30" s="119">
        <f>(((D30-C30)-INT(D30-C30))*24) + 1.2</f>
        <v>2.2219444444519469</v>
      </c>
      <c r="F30" s="120" t="s">
        <v>180</v>
      </c>
      <c r="G30" s="56"/>
    </row>
    <row r="31" spans="1:7" s="55" customFormat="1" x14ac:dyDescent="0.25">
      <c r="A31" s="116">
        <f t="shared" ref="A31" ca="1" si="29">IF(B31&lt;&gt;"",IF(A31="",TODAY(),A31),"")</f>
        <v>43318</v>
      </c>
      <c r="B31" s="117" t="s">
        <v>179</v>
      </c>
      <c r="C31" s="118">
        <v>43318.385000000002</v>
      </c>
      <c r="D31" s="118">
        <v>0.41111111111111115</v>
      </c>
      <c r="E31" s="119">
        <f t="shared" ref="E31" si="30">(((D31-C31)-INT(D31-C31))*24)</f>
        <v>0.62666666664881632</v>
      </c>
      <c r="F31" s="120" t="s">
        <v>180</v>
      </c>
      <c r="G31" s="56"/>
    </row>
    <row r="32" spans="1:7" s="55" customFormat="1" x14ac:dyDescent="0.25">
      <c r="A32" s="116">
        <f t="shared" ref="A32" ca="1" si="31">IF(B32&lt;&gt;"",IF(A32="",TODAY(),A32),"")</f>
        <v>43318</v>
      </c>
      <c r="B32" s="117" t="s">
        <v>179</v>
      </c>
      <c r="C32" s="118">
        <v>0.29652777777777778</v>
      </c>
      <c r="D32" s="118">
        <v>0.33611111111111108</v>
      </c>
      <c r="E32" s="119">
        <f t="shared" ref="E32" si="32">(((D32-C32)-INT(D32-C32))*24)</f>
        <v>0.94999999999999929</v>
      </c>
      <c r="F32" s="120" t="s">
        <v>180</v>
      </c>
      <c r="G32" s="56"/>
    </row>
    <row r="33" spans="1:7" s="55" customFormat="1" x14ac:dyDescent="0.25">
      <c r="A33" s="116">
        <f ca="1">IF(B33&lt;&gt;"",IF(A33="",TODAY(),A33),"")</f>
        <v>43299</v>
      </c>
      <c r="B33" s="117" t="s">
        <v>179</v>
      </c>
      <c r="C33" s="118">
        <v>0.84791666666666676</v>
      </c>
      <c r="D33" s="118">
        <v>0.88194444444444453</v>
      </c>
      <c r="E33" s="119">
        <f>(((D33-C33)-INT(D33-C33))*24)</f>
        <v>0.81666666666666643</v>
      </c>
      <c r="F33" s="120" t="s">
        <v>180</v>
      </c>
      <c r="G33" s="56"/>
    </row>
    <row r="34" spans="1:7" s="55" customFormat="1" x14ac:dyDescent="0.25">
      <c r="A34" s="116">
        <v>43312</v>
      </c>
      <c r="B34" s="117" t="s">
        <v>179</v>
      </c>
      <c r="C34" s="118">
        <v>0.12638888888888888</v>
      </c>
      <c r="D34" s="118">
        <v>0.14583333333333334</v>
      </c>
      <c r="E34" s="119">
        <f>(((D34-C34)-INT(D34-C34))*24)</f>
        <v>0.46666666666666701</v>
      </c>
      <c r="F34" s="120" t="s">
        <v>180</v>
      </c>
      <c r="G34" s="56"/>
    </row>
    <row r="35" spans="1:7" s="55" customFormat="1" x14ac:dyDescent="0.25">
      <c r="A35" s="116">
        <f ca="1">IF(B35&lt;&gt;"",IF(A35="",TODAY(),A35),"")</f>
        <v>43311</v>
      </c>
      <c r="B35" s="117" t="s">
        <v>179</v>
      </c>
      <c r="C35" s="118">
        <v>0.30208333333333331</v>
      </c>
      <c r="D35" s="118">
        <v>0.32291666666666669</v>
      </c>
      <c r="E35" s="119">
        <f>(((D35-C35)-INT(D35-C35))*24)+0.5</f>
        <v>1.0000000000000009</v>
      </c>
      <c r="F35" s="120" t="s">
        <v>180</v>
      </c>
      <c r="G35" s="56"/>
    </row>
    <row r="36" spans="1:7" s="55" customFormat="1" x14ac:dyDescent="0.25">
      <c r="A36" s="116">
        <v>43308</v>
      </c>
      <c r="B36" s="117" t="s">
        <v>179</v>
      </c>
      <c r="C36" s="118">
        <v>0.24722222222222223</v>
      </c>
      <c r="D36" s="118">
        <v>0.45069444444444445</v>
      </c>
      <c r="E36" s="119">
        <f>(((D36-C36)-INT(D36-C36))*24)</f>
        <v>4.8833333333333329</v>
      </c>
      <c r="F36" s="120" t="s">
        <v>180</v>
      </c>
      <c r="G36" s="56"/>
    </row>
    <row r="37" spans="1:7" s="55" customFormat="1" x14ac:dyDescent="0.25">
      <c r="A37" s="116">
        <f ca="1">IF(B37&lt;&gt;"",IF(A37="",TODAY(),A37),"")</f>
        <v>43307</v>
      </c>
      <c r="B37" s="117" t="s">
        <v>179</v>
      </c>
      <c r="C37" s="118">
        <v>6.9444444444444441E-3</v>
      </c>
      <c r="D37" s="118">
        <v>4.027777777777778E-2</v>
      </c>
      <c r="E37" s="119">
        <f>(((D37-C37)-INT(D37-C37))*24)</f>
        <v>0.80000000000000016</v>
      </c>
      <c r="F37" s="120" t="s">
        <v>180</v>
      </c>
      <c r="G37" s="56"/>
    </row>
    <row r="38" spans="1:7" s="55" customFormat="1" x14ac:dyDescent="0.25">
      <c r="A38" s="116">
        <v>43306</v>
      </c>
      <c r="B38" s="117" t="s">
        <v>179</v>
      </c>
      <c r="C38" s="118">
        <v>4.3750000000000004E-2</v>
      </c>
      <c r="D38" s="118">
        <v>9.375E-2</v>
      </c>
      <c r="E38" s="119">
        <f>(((D38-C38)-INT(D38-C38))*24)+2.5</f>
        <v>3.7</v>
      </c>
      <c r="F38" s="120" t="s">
        <v>180</v>
      </c>
      <c r="G38" s="56"/>
    </row>
    <row r="39" spans="1:7" s="55" customFormat="1" x14ac:dyDescent="0.25">
      <c r="A39" s="116">
        <f t="shared" ref="A39" ca="1" si="33">IF(B39&lt;&gt;"",IF(A39="",TODAY(),A39),"")</f>
        <v>43305</v>
      </c>
      <c r="B39" s="117" t="s">
        <v>179</v>
      </c>
      <c r="C39" s="118">
        <v>43305.982199074075</v>
      </c>
      <c r="D39" s="118">
        <v>0.16666666666666666</v>
      </c>
      <c r="E39" s="119">
        <f t="shared" ref="E39" si="34">(((D39-C39)-INT(D39-C39))*24)</f>
        <v>4.4272222221479751</v>
      </c>
      <c r="F39" s="120" t="s">
        <v>180</v>
      </c>
      <c r="G39" s="56"/>
    </row>
    <row r="40" spans="1:7" s="55" customFormat="1" x14ac:dyDescent="0.25">
      <c r="A40" s="116">
        <f t="shared" ref="A40" ca="1" si="35">IF(B40&lt;&gt;"",IF(A40="",TODAY(),A40),"")</f>
        <v>43304</v>
      </c>
      <c r="B40" s="117" t="s">
        <v>179</v>
      </c>
      <c r="C40" s="118">
        <v>0.69027777777777777</v>
      </c>
      <c r="D40" s="118">
        <v>0.70208333333333339</v>
      </c>
      <c r="E40" s="119">
        <f t="shared" ref="E40" si="36">(((D40-C40)-INT(D40-C40))*24)</f>
        <v>0.28333333333333499</v>
      </c>
      <c r="F40" s="120" t="s">
        <v>180</v>
      </c>
      <c r="G40" s="56"/>
    </row>
    <row r="41" spans="1:7" s="55" customFormat="1" x14ac:dyDescent="0.25">
      <c r="A41" s="116">
        <f ca="1">IF(B41&lt;&gt;"",IF(A41="",TODAY(),A41),"")</f>
        <v>43304</v>
      </c>
      <c r="B41" s="117" t="s">
        <v>179</v>
      </c>
      <c r="C41" s="118">
        <v>4.1666666666666664E-2</v>
      </c>
      <c r="D41" s="118">
        <v>0.15625</v>
      </c>
      <c r="E41" s="119">
        <f>(((D41-C41)-INT(D41-C41))*24)</f>
        <v>2.75</v>
      </c>
      <c r="F41" s="120" t="s">
        <v>180</v>
      </c>
      <c r="G41" s="56"/>
    </row>
    <row r="42" spans="1:7" s="55" customFormat="1" x14ac:dyDescent="0.25">
      <c r="A42" s="116">
        <f ca="1">IF(B42&lt;&gt;"",IF(A42="",TODAY(),A42),"")</f>
        <v>43304</v>
      </c>
      <c r="B42" s="117" t="s">
        <v>179</v>
      </c>
      <c r="C42" s="118">
        <v>0.46597222222222223</v>
      </c>
      <c r="D42" s="118">
        <v>0.6118055555555556</v>
      </c>
      <c r="E42" s="119">
        <f>(((D42-C42)-INT(D42-C42))*24)</f>
        <v>3.5000000000000009</v>
      </c>
      <c r="F42" s="120" t="s">
        <v>180</v>
      </c>
      <c r="G42" s="56"/>
    </row>
    <row r="43" spans="1:7" s="55" customFormat="1" x14ac:dyDescent="0.25">
      <c r="A43" s="116">
        <f ca="1">IF(B43&lt;&gt;"",IF(A43="",TODAY(),A43),"")</f>
        <v>43304</v>
      </c>
      <c r="B43" s="117" t="s">
        <v>179</v>
      </c>
      <c r="C43" s="118">
        <v>0.11458333333333333</v>
      </c>
      <c r="D43" s="118">
        <v>0.15277777777777776</v>
      </c>
      <c r="E43" s="119">
        <f>(((D43-C43)-INT(D43-C43))*24)</f>
        <v>0.91666666666666641</v>
      </c>
      <c r="F43" s="120" t="s">
        <v>180</v>
      </c>
      <c r="G43" s="56"/>
    </row>
    <row r="44" spans="1:7" s="55" customFormat="1" x14ac:dyDescent="0.25">
      <c r="A44" s="116">
        <v>43303</v>
      </c>
      <c r="B44" s="117" t="s">
        <v>179</v>
      </c>
      <c r="C44" s="118">
        <v>0.28333333333333333</v>
      </c>
      <c r="D44" s="118">
        <v>0.31111111111111112</v>
      </c>
      <c r="E44" s="119">
        <f>(((D44-C44)-INT(D44-C44))*24)+1.2+5.1</f>
        <v>6.9666666666666668</v>
      </c>
      <c r="F44" s="120" t="s">
        <v>180</v>
      </c>
      <c r="G44" s="56"/>
    </row>
    <row r="45" spans="1:7" s="55" customFormat="1" x14ac:dyDescent="0.25">
      <c r="A45" s="116">
        <f t="shared" ref="A45:A50" ca="1" si="37">IF(B45&lt;&gt;"",IF(A45="",TODAY(),A45),"")</f>
        <v>43301</v>
      </c>
      <c r="B45" s="117" t="s">
        <v>179</v>
      </c>
      <c r="C45" s="118">
        <v>0.51666666666666672</v>
      </c>
      <c r="D45" s="118">
        <v>43301.724583333336</v>
      </c>
      <c r="E45" s="119">
        <f>(((D45-C45)-INT(D45-C45))*24)+2.6</f>
        <v>7.5899999999906864</v>
      </c>
      <c r="F45" s="120" t="s">
        <v>180</v>
      </c>
      <c r="G45" s="56"/>
    </row>
    <row r="46" spans="1:7" s="55" customFormat="1" x14ac:dyDescent="0.25">
      <c r="A46" s="116">
        <f t="shared" ca="1" si="37"/>
        <v>43299</v>
      </c>
      <c r="B46" s="117" t="s">
        <v>179</v>
      </c>
      <c r="C46" s="118">
        <v>0.1277777777777778</v>
      </c>
      <c r="D46" s="118">
        <v>0.27986111111111112</v>
      </c>
      <c r="E46" s="119">
        <f>(((D46-C46)-INT(D46-C46))*24)</f>
        <v>3.6499999999999995</v>
      </c>
      <c r="F46" s="120" t="s">
        <v>180</v>
      </c>
      <c r="G46" s="56"/>
    </row>
    <row r="47" spans="1:7" s="55" customFormat="1" x14ac:dyDescent="0.25">
      <c r="A47" s="116">
        <f t="shared" ca="1" si="37"/>
        <v>43298</v>
      </c>
      <c r="B47" s="117" t="s">
        <v>179</v>
      </c>
      <c r="C47" s="118">
        <v>0.13402777777777777</v>
      </c>
      <c r="D47" s="118">
        <v>43299.279953703706</v>
      </c>
      <c r="E47" s="119">
        <f>(((D47-C47)-INT(D47-C47))*24)</f>
        <v>3.502222222276032</v>
      </c>
      <c r="F47" s="120" t="s">
        <v>180</v>
      </c>
      <c r="G47" s="56"/>
    </row>
    <row r="48" spans="1:7" s="55" customFormat="1" x14ac:dyDescent="0.25">
      <c r="A48" s="116">
        <f t="shared" ca="1" si="37"/>
        <v>43297</v>
      </c>
      <c r="B48" s="117" t="s">
        <v>179</v>
      </c>
      <c r="C48" s="118">
        <v>43297.719317129631</v>
      </c>
      <c r="D48" s="118">
        <v>0.83819444444444446</v>
      </c>
      <c r="E48" s="119">
        <f>(((D48-C48)-INT(D48-C48))*24)+0.1</f>
        <v>2.953055555431638</v>
      </c>
      <c r="F48" s="120" t="s">
        <v>180</v>
      </c>
      <c r="G48" s="56"/>
    </row>
    <row r="49" spans="1:7" s="55" customFormat="1" x14ac:dyDescent="0.25">
      <c r="A49" s="116">
        <f t="shared" ca="1" si="37"/>
        <v>43297</v>
      </c>
      <c r="B49" s="117" t="s">
        <v>179</v>
      </c>
      <c r="C49" s="118">
        <v>0.49791666666666662</v>
      </c>
      <c r="D49" s="118">
        <v>0.53194444444444444</v>
      </c>
      <c r="E49" s="119">
        <v>0</v>
      </c>
      <c r="F49" s="120" t="s">
        <v>180</v>
      </c>
      <c r="G49" s="56"/>
    </row>
    <row r="50" spans="1:7" s="55" customFormat="1" x14ac:dyDescent="0.25">
      <c r="A50" s="116">
        <f t="shared" ca="1" si="37"/>
        <v>43297</v>
      </c>
      <c r="B50" s="117" t="s">
        <v>179</v>
      </c>
      <c r="C50" s="118">
        <v>0.3125</v>
      </c>
      <c r="D50" s="118">
        <v>0.43958333333333338</v>
      </c>
      <c r="E50" s="119">
        <f>(((D50-C50)-INT(D50-C50))*24)+0.8</f>
        <v>3.8500000000000014</v>
      </c>
      <c r="F50" s="120" t="s">
        <v>180</v>
      </c>
      <c r="G50" s="56"/>
    </row>
    <row r="51" spans="1:7" s="55" customFormat="1" x14ac:dyDescent="0.25">
      <c r="A51" s="116">
        <v>43301</v>
      </c>
      <c r="B51" s="117" t="s">
        <v>179</v>
      </c>
      <c r="C51" s="118" t="s">
        <v>129</v>
      </c>
      <c r="D51" s="118" t="s">
        <v>129</v>
      </c>
      <c r="E51" s="119">
        <v>0.75</v>
      </c>
      <c r="F51" s="120" t="s">
        <v>180</v>
      </c>
      <c r="G51" s="56"/>
    </row>
    <row r="52" spans="1:7" s="55" customFormat="1" x14ac:dyDescent="0.25">
      <c r="A52" s="116">
        <f t="shared" ref="A52" ca="1" si="38">IF(B52&lt;&gt;"",IF(A52="",TODAY(),A52),"")</f>
        <v>43294</v>
      </c>
      <c r="B52" s="117" t="s">
        <v>179</v>
      </c>
      <c r="C52" s="118">
        <v>0.25</v>
      </c>
      <c r="D52" s="118">
        <v>43294.432534722226</v>
      </c>
      <c r="E52" s="119">
        <f>(((D52-C52)-INT(D52-C52))*24)+3</f>
        <v>7.3808333334163763</v>
      </c>
      <c r="F52" s="120" t="s">
        <v>180</v>
      </c>
      <c r="G52" s="56"/>
    </row>
    <row r="53" spans="1:7" s="55" customFormat="1" x14ac:dyDescent="0.25">
      <c r="A53" s="116">
        <f t="shared" ref="A53" ca="1" si="39">IF(B53&lt;&gt;"",IF(A53="",TODAY(),A53),"")</f>
        <v>43293</v>
      </c>
      <c r="B53" s="117" t="s">
        <v>179</v>
      </c>
      <c r="C53" s="118">
        <v>43293.80709490741</v>
      </c>
      <c r="D53" s="118">
        <v>43293.999155092592</v>
      </c>
      <c r="E53" s="119">
        <f t="shared" ref="E53" si="40">(((D53-C53)-INT(D53-C53))*24)</f>
        <v>4.6094444443588145</v>
      </c>
      <c r="F53" s="120" t="s">
        <v>180</v>
      </c>
      <c r="G53" s="56"/>
    </row>
    <row r="54" spans="1:7" s="55" customFormat="1" x14ac:dyDescent="0.25">
      <c r="A54" s="116">
        <f t="shared" ref="A54:A59" ca="1" si="41">IF(B54&lt;&gt;"",IF(A54="",TODAY(),A54),"")</f>
        <v>43230</v>
      </c>
      <c r="B54" s="117" t="s">
        <v>179</v>
      </c>
      <c r="C54" s="118">
        <v>9.930555555555555E-2</v>
      </c>
      <c r="D54" s="118">
        <v>0.14791666666666667</v>
      </c>
      <c r="E54" s="119">
        <f>(((D54-C54)-INT(D54-C54))*24)+4</f>
        <v>5.166666666666667</v>
      </c>
      <c r="F54" s="120" t="s">
        <v>180</v>
      </c>
      <c r="G54" s="56"/>
    </row>
    <row r="55" spans="1:7" s="55" customFormat="1" x14ac:dyDescent="0.25">
      <c r="A55" s="116">
        <f t="shared" ca="1" si="41"/>
        <v>43298</v>
      </c>
      <c r="B55" s="117" t="s">
        <v>179</v>
      </c>
      <c r="C55" s="118">
        <v>0.91319444444444453</v>
      </c>
      <c r="D55" s="118">
        <v>0.93611111111111101</v>
      </c>
      <c r="E55" s="119">
        <f>(((D55-C55)-INT(D55-C55))*24)+0.5</f>
        <v>1.0499999999999954</v>
      </c>
      <c r="F55" s="120" t="s">
        <v>180</v>
      </c>
      <c r="G55" s="56"/>
    </row>
    <row r="56" spans="1:7" s="55" customFormat="1" x14ac:dyDescent="0.25">
      <c r="A56" s="116">
        <f t="shared" ca="1" si="41"/>
        <v>43298</v>
      </c>
      <c r="B56" s="117" t="s">
        <v>179</v>
      </c>
      <c r="C56" s="118">
        <v>0.93611111111111101</v>
      </c>
      <c r="D56" s="118">
        <v>0.94513888888888886</v>
      </c>
      <c r="E56" s="119">
        <f>(((D56-C56)-INT(D56-C56))*24)</f>
        <v>0.21666666666666856</v>
      </c>
      <c r="F56" s="120" t="s">
        <v>180</v>
      </c>
      <c r="G56" s="56"/>
    </row>
    <row r="57" spans="1:7" s="55" customFormat="1" x14ac:dyDescent="0.25">
      <c r="A57" s="116">
        <f t="shared" ca="1" si="41"/>
        <v>43298</v>
      </c>
      <c r="B57" s="117" t="s">
        <v>179</v>
      </c>
      <c r="C57" s="118">
        <v>0.88541666666666663</v>
      </c>
      <c r="D57" s="118">
        <v>0.90972222222222221</v>
      </c>
      <c r="E57" s="119">
        <f>(((D57-C57)-INT(D57-C57))*24)</f>
        <v>0.58333333333333393</v>
      </c>
      <c r="F57" s="120" t="s">
        <v>180</v>
      </c>
      <c r="G57" s="56"/>
    </row>
    <row r="58" spans="1:7" s="55" customFormat="1" x14ac:dyDescent="0.25">
      <c r="A58" s="116">
        <f t="shared" ca="1" si="41"/>
        <v>43265</v>
      </c>
      <c r="B58" s="117" t="s">
        <v>179</v>
      </c>
      <c r="C58" s="118">
        <v>43265.458923611113</v>
      </c>
      <c r="D58" s="118">
        <v>0.48125000000000001</v>
      </c>
      <c r="E58" s="119">
        <f>(((D58-C58)-INT(D58-C58))*24)</f>
        <v>0.5358333332114853</v>
      </c>
      <c r="F58" s="120" t="s">
        <v>180</v>
      </c>
      <c r="G58" s="56"/>
    </row>
    <row r="59" spans="1:7" s="55" customFormat="1" x14ac:dyDescent="0.25">
      <c r="A59" s="116">
        <f t="shared" ca="1" si="41"/>
        <v>43231</v>
      </c>
      <c r="B59" s="117" t="s">
        <v>179</v>
      </c>
      <c r="C59" s="118">
        <v>0.28472222222222221</v>
      </c>
      <c r="D59" s="118">
        <v>0.32916666666666666</v>
      </c>
      <c r="E59" s="119">
        <f>(((D59-C59)-INT(D59-C59))*24)</f>
        <v>1.0666666666666669</v>
      </c>
      <c r="F59" s="120" t="s">
        <v>180</v>
      </c>
      <c r="G59" s="56"/>
    </row>
    <row r="60" spans="1:7" s="55" customFormat="1" x14ac:dyDescent="0.25">
      <c r="A60" s="116">
        <f t="shared" ref="A60" ca="1" si="42">IF(B60&lt;&gt;"",IF(A60="",TODAY(),A60),"")</f>
        <v>43273</v>
      </c>
      <c r="B60" s="117" t="s">
        <v>179</v>
      </c>
      <c r="C60" s="118">
        <v>0.66666666666666663</v>
      </c>
      <c r="D60" s="118">
        <v>0.68680555555555556</v>
      </c>
      <c r="E60" s="119">
        <f t="shared" ref="E60" si="43">(((D60-C60)-INT(D60-C60))*24)</f>
        <v>0.48333333333333428</v>
      </c>
      <c r="F60" s="120" t="s">
        <v>180</v>
      </c>
      <c r="G60" s="56"/>
    </row>
    <row r="61" spans="1:7" s="55" customFormat="1" x14ac:dyDescent="0.25">
      <c r="A61" s="116">
        <f t="shared" ref="A61" ca="1" si="44">IF(B61&lt;&gt;"",IF(A61="",TODAY(),A61),"")</f>
        <v>43291</v>
      </c>
      <c r="B61" s="117" t="s">
        <v>179</v>
      </c>
      <c r="C61" s="118">
        <v>0.41666666666666669</v>
      </c>
      <c r="D61" s="118">
        <v>0.49791666666666662</v>
      </c>
      <c r="E61" s="119">
        <f t="shared" ref="E61" si="45">(((D61-C61)-INT(D61-C61))*24)</f>
        <v>1.9499999999999984</v>
      </c>
      <c r="F61" s="120" t="s">
        <v>180</v>
      </c>
      <c r="G61" s="56"/>
    </row>
    <row r="62" spans="1:7" s="55" customFormat="1" x14ac:dyDescent="0.25">
      <c r="A62" s="116">
        <f t="shared" ref="A62" ca="1" si="46">IF(B62&lt;&gt;"",IF(A62="",TODAY(),A62),"")</f>
        <v>43290</v>
      </c>
      <c r="B62" s="117" t="s">
        <v>179</v>
      </c>
      <c r="C62" s="118">
        <v>43290.412557870368</v>
      </c>
      <c r="D62" s="118">
        <v>0.58333333333333337</v>
      </c>
      <c r="E62" s="119">
        <f t="shared" ref="E62" si="47">(((D62-C62)-INT(D62-C62))*24)</f>
        <v>4.0986111112288199</v>
      </c>
      <c r="F62" s="120" t="s">
        <v>180</v>
      </c>
      <c r="G62" s="56"/>
    </row>
    <row r="63" spans="1:7" s="55" customFormat="1" x14ac:dyDescent="0.25">
      <c r="A63" s="116">
        <f ca="1">IF(B63&lt;&gt;"",IF(A63="",TODAY(),A63),"")</f>
        <v>43288</v>
      </c>
      <c r="B63" s="117" t="s">
        <v>179</v>
      </c>
      <c r="C63" s="118">
        <v>43290.180486111109</v>
      </c>
      <c r="D63" s="118">
        <v>43290.412546296298</v>
      </c>
      <c r="E63" s="119">
        <f>(((D63-C63)-INT(D63-C63))*24)</f>
        <v>5.5694444445543922</v>
      </c>
      <c r="F63" s="120" t="s">
        <v>180</v>
      </c>
      <c r="G63" s="56"/>
    </row>
    <row r="64" spans="1:7" s="55" customFormat="1" x14ac:dyDescent="0.25">
      <c r="A64" s="116">
        <f ca="1">IF(B64&lt;&gt;"",IF(A64="",TODAY(),A64),"")</f>
        <v>43285</v>
      </c>
      <c r="B64" s="117" t="s">
        <v>179</v>
      </c>
      <c r="C64" s="118">
        <v>0</v>
      </c>
      <c r="D64" s="118">
        <v>0.14722222222222223</v>
      </c>
      <c r="E64" s="119">
        <f>(((D64-C64)-INT(D64-C64))*24)+1.5</f>
        <v>5.0333333333333332</v>
      </c>
      <c r="F64" s="120" t="s">
        <v>180</v>
      </c>
      <c r="G64" s="56"/>
    </row>
    <row r="65" spans="1:7" s="55" customFormat="1" x14ac:dyDescent="0.25">
      <c r="A65" s="116">
        <f ca="1">IF(B65&lt;&gt;"",IF(A65="",TODAY(),A65),"")</f>
        <v>43229</v>
      </c>
      <c r="B65" s="117" t="s">
        <v>179</v>
      </c>
      <c r="C65" s="118">
        <v>43229.96670138889</v>
      </c>
      <c r="D65" s="118">
        <v>0.99930555555555556</v>
      </c>
      <c r="E65" s="119">
        <f>(((D65-C65)-INT(D65-C65))*24)</f>
        <v>0.78249999991385266</v>
      </c>
      <c r="F65" s="120" t="s">
        <v>180</v>
      </c>
      <c r="G65" s="56"/>
    </row>
    <row r="66" spans="1:7" s="55" customFormat="1" x14ac:dyDescent="0.25">
      <c r="A66" s="116">
        <f t="shared" ref="A66" ca="1" si="48">IF(B66&lt;&gt;"",IF(A66="",TODAY(),A66),"")</f>
        <v>43283</v>
      </c>
      <c r="B66" s="117" t="s">
        <v>179</v>
      </c>
      <c r="C66" s="118">
        <v>0.16666666666666666</v>
      </c>
      <c r="D66" s="118">
        <v>0.4458333333333333</v>
      </c>
      <c r="E66" s="119">
        <f t="shared" ref="E66" si="49">(((D66-C66)-INT(D66-C66))*24)</f>
        <v>6.7</v>
      </c>
      <c r="F66" s="120" t="s">
        <v>180</v>
      </c>
      <c r="G66" s="56"/>
    </row>
    <row r="67" spans="1:7" s="55" customFormat="1" x14ac:dyDescent="0.25">
      <c r="A67" s="116">
        <v>43282</v>
      </c>
      <c r="B67" s="117" t="s">
        <v>179</v>
      </c>
      <c r="C67" s="118">
        <v>0.54166666666666663</v>
      </c>
      <c r="D67" s="118">
        <v>0.75</v>
      </c>
      <c r="E67" s="119">
        <f t="shared" ref="E67" si="50">(((D67-C67)-INT(D67-C67))*24)</f>
        <v>5.0000000000000009</v>
      </c>
      <c r="F67" s="120" t="s">
        <v>180</v>
      </c>
      <c r="G67" s="56"/>
    </row>
    <row r="68" spans="1:7" s="55" customFormat="1" x14ac:dyDescent="0.25">
      <c r="A68" s="116">
        <v>43281</v>
      </c>
      <c r="B68" s="117" t="s">
        <v>179</v>
      </c>
      <c r="C68" s="118">
        <v>0.34375</v>
      </c>
      <c r="D68" s="118">
        <v>0.66666666666666663</v>
      </c>
      <c r="E68" s="119">
        <f>(((D68-C68)-INT(D68-C68))*24)+2</f>
        <v>9.75</v>
      </c>
      <c r="F68" s="120" t="s">
        <v>180</v>
      </c>
      <c r="G68" s="56"/>
    </row>
    <row r="69" spans="1:7" s="55" customFormat="1" x14ac:dyDescent="0.25">
      <c r="A69" s="116">
        <f t="shared" ref="A69" ca="1" si="51">IF(B69&lt;&gt;"",IF(A69="",TODAY(),A69),"")</f>
        <v>43280</v>
      </c>
      <c r="B69" s="117" t="s">
        <v>179</v>
      </c>
      <c r="C69" s="118">
        <v>0.375</v>
      </c>
      <c r="D69" s="118">
        <v>0.625</v>
      </c>
      <c r="E69" s="119">
        <f>(((D69-C69)-INT(D69-C69))*24)+4.7</f>
        <v>10.7</v>
      </c>
      <c r="F69" s="120" t="s">
        <v>180</v>
      </c>
      <c r="G69" s="56"/>
    </row>
    <row r="70" spans="1:7" s="55" customFormat="1" x14ac:dyDescent="0.25">
      <c r="A70" s="116">
        <f t="shared" ref="A70" ca="1" si="52">IF(B70&lt;&gt;"",IF(A70="",TODAY(),A70),"")</f>
        <v>43279</v>
      </c>
      <c r="B70" s="117" t="s">
        <v>179</v>
      </c>
      <c r="C70" s="118">
        <v>43279.554305555554</v>
      </c>
      <c r="D70" s="118">
        <v>43279.59684027778</v>
      </c>
      <c r="E70" s="119">
        <f t="shared" ref="E70" si="53">(((D70-C70)-INT(D70-C70))*24)</f>
        <v>1.0208333334303461</v>
      </c>
      <c r="F70" s="120" t="s">
        <v>180</v>
      </c>
      <c r="G70" s="56"/>
    </row>
    <row r="71" spans="1:7" s="55" customFormat="1" x14ac:dyDescent="0.25">
      <c r="A71" s="116">
        <f t="shared" ref="A71" ca="1" si="54">IF(B71&lt;&gt;"",IF(A71="",TODAY(),A71),"")</f>
        <v>43278</v>
      </c>
      <c r="B71" s="117" t="s">
        <v>179</v>
      </c>
      <c r="C71" s="118">
        <v>43278.114629629628</v>
      </c>
      <c r="D71" s="118">
        <v>0.22152777777777777</v>
      </c>
      <c r="E71" s="119">
        <f t="shared" ref="E71" si="55">(((D71-C71)-INT(D71-C71))*24)</f>
        <v>2.565555555629544</v>
      </c>
      <c r="F71" s="120" t="s">
        <v>180</v>
      </c>
      <c r="G71" s="56"/>
    </row>
    <row r="72" spans="1:7" s="55" customFormat="1" x14ac:dyDescent="0.25">
      <c r="A72" s="116">
        <f t="shared" ref="A72" ca="1" si="56">IF(B72&lt;&gt;"",IF(A72="",TODAY(),A72),"")</f>
        <v>43274</v>
      </c>
      <c r="B72" s="117" t="s">
        <v>179</v>
      </c>
      <c r="C72" s="118">
        <v>0.5</v>
      </c>
      <c r="D72" s="118">
        <v>0.5625</v>
      </c>
      <c r="E72" s="119">
        <f t="shared" ref="E72" si="57">(((D72-C72)-INT(D72-C72))*24)</f>
        <v>1.5</v>
      </c>
      <c r="F72" s="120" t="s">
        <v>180</v>
      </c>
      <c r="G72" s="56"/>
    </row>
    <row r="73" spans="1:7" s="55" customFormat="1" x14ac:dyDescent="0.25">
      <c r="A73" s="116">
        <f t="shared" ref="A73" ca="1" si="58">IF(B73&lt;&gt;"",IF(A73="",TODAY(),A73),"")</f>
        <v>43273</v>
      </c>
      <c r="B73" s="117" t="s">
        <v>179</v>
      </c>
      <c r="C73" s="118">
        <v>0.24444444444444446</v>
      </c>
      <c r="D73" s="118">
        <v>0.3125</v>
      </c>
      <c r="E73" s="119">
        <f t="shared" ref="E73" si="59">(((D73-C73)-INT(D73-C73))*24)</f>
        <v>1.6333333333333329</v>
      </c>
      <c r="F73" s="120" t="s">
        <v>180</v>
      </c>
      <c r="G73" s="56"/>
    </row>
    <row r="74" spans="1:7" s="55" customFormat="1" x14ac:dyDescent="0.25">
      <c r="A74" s="116">
        <f ca="1">IF(B74&lt;&gt;"",IF(A74="",TODAY(),A74),"")</f>
        <v>43247</v>
      </c>
      <c r="B74" s="117" t="s">
        <v>179</v>
      </c>
      <c r="C74" s="118">
        <v>43247.106712962966</v>
      </c>
      <c r="D74" s="118">
        <v>0.20833333333333334</v>
      </c>
      <c r="E74" s="119">
        <f>(((D74-C74)-INT(D74-C74))*24)+3.4</f>
        <v>5.8388888888643127</v>
      </c>
      <c r="F74" s="120" t="s">
        <v>180</v>
      </c>
      <c r="G74" s="56"/>
    </row>
    <row r="75" spans="1:7" s="55" customFormat="1" x14ac:dyDescent="0.25">
      <c r="A75" s="116">
        <f ca="1">IF(B75&lt;&gt;"",IF(A75="",TODAY(),A75),"")</f>
        <v>43245</v>
      </c>
      <c r="B75" s="117" t="s">
        <v>179</v>
      </c>
      <c r="C75" s="118">
        <v>0.21111111111111111</v>
      </c>
      <c r="D75" s="118">
        <v>43245.303749999999</v>
      </c>
      <c r="E75" s="119">
        <f>(((D75-C75)-INT(D75-C75))*24)+0.3</f>
        <v>2.5233333333861081</v>
      </c>
      <c r="F75" s="120" t="s">
        <v>180</v>
      </c>
      <c r="G75" s="56"/>
    </row>
    <row r="76" spans="1:7" s="55" customFormat="1" x14ac:dyDescent="0.25">
      <c r="A76" s="116">
        <f t="shared" ref="A76" ca="1" si="60">IF(B76&lt;&gt;"",IF(A76="",TODAY(),A76),"")</f>
        <v>43278</v>
      </c>
      <c r="B76" s="117" t="s">
        <v>179</v>
      </c>
      <c r="C76" s="118">
        <v>0.22152777777777777</v>
      </c>
      <c r="D76" s="118">
        <v>43278.238518518519</v>
      </c>
      <c r="E76" s="119">
        <f t="shared" ref="E76" si="61">(((D76-C76)-INT(D76-C76))*24)</f>
        <v>0.40777777775656432</v>
      </c>
      <c r="F76" s="120" t="s">
        <v>180</v>
      </c>
      <c r="G76" s="56"/>
    </row>
    <row r="77" spans="1:7" s="55" customFormat="1" x14ac:dyDescent="0.25">
      <c r="A77" s="116">
        <f ca="1">IF(B77&lt;&gt;"",IF(A77="",TODAY(),A77),"")</f>
        <v>43276</v>
      </c>
      <c r="B77" s="117" t="s">
        <v>179</v>
      </c>
      <c r="C77" s="118">
        <v>0</v>
      </c>
      <c r="D77" s="118">
        <v>0.12638888888888888</v>
      </c>
      <c r="E77" s="119">
        <f>(((D77-C77)-INT(D77-C77))*24)</f>
        <v>3.0333333333333332</v>
      </c>
      <c r="F77" s="120" t="s">
        <v>180</v>
      </c>
      <c r="G77" s="56"/>
    </row>
    <row r="78" spans="1:7" s="55" customFormat="1" x14ac:dyDescent="0.25">
      <c r="A78" s="116">
        <f ca="1">IF(B78&lt;&gt;"",IF(A78="",TODAY(),A78),"")</f>
        <v>43275</v>
      </c>
      <c r="B78" s="117" t="s">
        <v>179</v>
      </c>
      <c r="C78" s="118">
        <v>0.42152777777777778</v>
      </c>
      <c r="D78" s="118">
        <v>0.4375</v>
      </c>
      <c r="E78" s="119">
        <f>(((D78-C78)-INT(D78-C78))*24)</f>
        <v>0.3833333333333333</v>
      </c>
      <c r="F78" s="120" t="s">
        <v>180</v>
      </c>
      <c r="G78" s="56"/>
    </row>
    <row r="79" spans="1:7" s="55" customFormat="1" x14ac:dyDescent="0.25">
      <c r="A79" s="116">
        <f ca="1">IF(B79&lt;&gt;"",IF(A79="",TODAY(),A79),"")</f>
        <v>43275</v>
      </c>
      <c r="B79" s="117" t="s">
        <v>179</v>
      </c>
      <c r="C79" s="118">
        <v>43275.404050925928</v>
      </c>
      <c r="D79" s="118">
        <v>0.4201388888888889</v>
      </c>
      <c r="E79" s="119">
        <f>(((D79-C79)-INT(D79-C79))*24)</f>
        <v>0.38611111108912155</v>
      </c>
      <c r="F79" s="120" t="s">
        <v>180</v>
      </c>
      <c r="G79" s="56"/>
    </row>
    <row r="80" spans="1:7" s="55" customFormat="1" x14ac:dyDescent="0.25">
      <c r="A80" s="116">
        <f t="shared" ref="A80" ca="1" si="62">IF(B80&lt;&gt;"",IF(A80="",TODAY(),A80),"")</f>
        <v>43275</v>
      </c>
      <c r="B80" s="117" t="s">
        <v>179</v>
      </c>
      <c r="C80" s="118">
        <v>0.37152777777777773</v>
      </c>
      <c r="D80" s="118">
        <v>0.40277777777777773</v>
      </c>
      <c r="E80" s="119">
        <f t="shared" ref="E80" si="63">(((D80-C80)-INT(D80-C80))*24)</f>
        <v>0.75</v>
      </c>
      <c r="F80" s="120" t="s">
        <v>180</v>
      </c>
      <c r="G80" s="56"/>
    </row>
  </sheetData>
  <conditionalFormatting sqref="A24:F24">
    <cfRule type="expression" dxfId="129" priority="29">
      <formula>ISEVEN(ROW())</formula>
    </cfRule>
  </conditionalFormatting>
  <conditionalFormatting sqref="A25:F25">
    <cfRule type="expression" dxfId="128" priority="30">
      <formula>ISEVEN(ROW())</formula>
    </cfRule>
  </conditionalFormatting>
  <conditionalFormatting sqref="A23:F23">
    <cfRule type="expression" dxfId="127" priority="27">
      <formula>ISEVEN(ROW())</formula>
    </cfRule>
  </conditionalFormatting>
  <conditionalFormatting sqref="A22:F22">
    <cfRule type="expression" dxfId="126" priority="24">
      <formula>ISEVEN(ROW())</formula>
    </cfRule>
  </conditionalFormatting>
  <conditionalFormatting sqref="A21:F21">
    <cfRule type="expression" dxfId="125" priority="23">
      <formula>ISEVEN(ROW())</formula>
    </cfRule>
  </conditionalFormatting>
  <conditionalFormatting sqref="A20:F20">
    <cfRule type="expression" dxfId="124" priority="22">
      <formula>ISEVEN(ROW())</formula>
    </cfRule>
  </conditionalFormatting>
  <conditionalFormatting sqref="A19:F19">
    <cfRule type="expression" dxfId="123" priority="21">
      <formula>ISEVEN(ROW())</formula>
    </cfRule>
  </conditionalFormatting>
  <conditionalFormatting sqref="A18:F18">
    <cfRule type="expression" dxfId="122" priority="20">
      <formula>ISEVEN(ROW())</formula>
    </cfRule>
  </conditionalFormatting>
  <conditionalFormatting sqref="A17:F17">
    <cfRule type="expression" dxfId="121" priority="19">
      <formula>ISEVEN(ROW())</formula>
    </cfRule>
  </conditionalFormatting>
  <conditionalFormatting sqref="A16:F16">
    <cfRule type="expression" dxfId="120" priority="18">
      <formula>ISEVEN(ROW())</formula>
    </cfRule>
  </conditionalFormatting>
  <conditionalFormatting sqref="A15:D15 F15">
    <cfRule type="expression" dxfId="119" priority="17">
      <formula>ISEVEN(ROW())</formula>
    </cfRule>
  </conditionalFormatting>
  <conditionalFormatting sqref="E15">
    <cfRule type="expression" dxfId="118" priority="16">
      <formula>ISEVEN(ROW())</formula>
    </cfRule>
  </conditionalFormatting>
  <conditionalFormatting sqref="A14:F14">
    <cfRule type="expression" dxfId="117" priority="15">
      <formula>ISEVEN(ROW())</formula>
    </cfRule>
  </conditionalFormatting>
  <conditionalFormatting sqref="A13:F13">
    <cfRule type="expression" dxfId="116" priority="14">
      <formula>ISEVEN(ROW())</formula>
    </cfRule>
  </conditionalFormatting>
  <conditionalFormatting sqref="A12:F12">
    <cfRule type="expression" dxfId="115" priority="13">
      <formula>ISEVEN(ROW())</formula>
    </cfRule>
  </conditionalFormatting>
  <conditionalFormatting sqref="A11:F11">
    <cfRule type="expression" dxfId="114" priority="12">
      <formula>ISEVEN(ROW())</formula>
    </cfRule>
  </conditionalFormatting>
  <conditionalFormatting sqref="A10:F10">
    <cfRule type="expression" dxfId="113" priority="11">
      <formula>ISEVEN(ROW())</formula>
    </cfRule>
  </conditionalFormatting>
  <conditionalFormatting sqref="A9:F9">
    <cfRule type="expression" dxfId="112" priority="10">
      <formula>ISEVEN(ROW())</formula>
    </cfRule>
  </conditionalFormatting>
  <conditionalFormatting sqref="A8:F8">
    <cfRule type="expression" dxfId="111" priority="9">
      <formula>ISEVEN(ROW())</formula>
    </cfRule>
  </conditionalFormatting>
  <conditionalFormatting sqref="A7:F7">
    <cfRule type="expression" dxfId="110" priority="8">
      <formula>ISEVEN(ROW())</formula>
    </cfRule>
  </conditionalFormatting>
  <conditionalFormatting sqref="A6:F6">
    <cfRule type="expression" dxfId="109" priority="7">
      <formula>ISEVEN(ROW())</formula>
    </cfRule>
  </conditionalFormatting>
  <conditionalFormatting sqref="A5:F5">
    <cfRule type="expression" dxfId="108" priority="6">
      <formula>ISEVEN(ROW())</formula>
    </cfRule>
  </conditionalFormatting>
  <conditionalFormatting sqref="A4:F4">
    <cfRule type="expression" dxfId="107" priority="5">
      <formula>ISEVEN(ROW())</formula>
    </cfRule>
  </conditionalFormatting>
  <conditionalFormatting sqref="A3:F3">
    <cfRule type="expression" dxfId="106" priority="4">
      <formula>ISEVEN(ROW())</formula>
    </cfRule>
  </conditionalFormatting>
  <conditionalFormatting sqref="A27:F27 A29:F29 A31:F31 A33:F33 A35:F35 A37:F37 A39:F39 A41:F41 A43:F43 A45:F45 A47:F47 A49:F49 A51:F51 A53:F53 A55:F55 A57:F57 A59:F59 A61:F61 A63:F63 A65:F65 A67:F67 A69:F69 A71:F71 A73:F73 A75:F75 A77:F77 A79:F79">
    <cfRule type="expression" dxfId="105" priority="2">
      <formula>ISEVEN(ROW())</formula>
    </cfRule>
  </conditionalFormatting>
  <conditionalFormatting sqref="A26:F26 A28:F28 A30:F30 A32:F32 A34:F34 A36:F36 A38:F38 A40:F40 A42:F42 A44:F44 A46:F46 A48:F48 A50:F50 A52:F52 A54:F54 A56:F56 A58:F58 A60:F60 A62:F62 A64:F64 A66:F66 A68:F68 A70:F70 A72:F72 A74:F74 A76:F76 A78:F78 A80:F80">
    <cfRule type="expression" dxfId="104" priority="1">
      <formula>ISEVEN(ROW())</formula>
    </cfRule>
  </conditionalFormatting>
  <dataValidations count="2">
    <dataValidation type="list" allowBlank="1" showInputMessage="1" promptTitle="Time Entry" prompt="Input Matter Number or select from dropdown." sqref="B43:C43 B44:B80 B3:B42" xr:uid="{AE332490-044B-43C0-93FE-0C1E665E68CD}">
      <formula1>AGENDA</formula1>
    </dataValidation>
    <dataValidation type="list" allowBlank="1" showInputMessage="1" promptTitle="Time Entry" prompt="Input NARRATIVE or select from dropdown menu.                _x000a_" sqref="F3:F80" xr:uid="{762BE641-AD5E-4233-8AD2-CF2F9E6FBA63}">
      <formula1>Narratives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2529" r:id="rId4" name="HideThisSheet">
          <controlPr defaultSize="0" autoLine="0" altText="Toggles 'Time' sheet between two preselected zooms." r:id="rId5">
            <anchor moveWithCells="1" sizeWithCells="1">
              <from>
                <xdr:col>5</xdr:col>
                <xdr:colOff>514350</xdr:colOff>
                <xdr:row>0</xdr:row>
                <xdr:rowOff>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2529" r:id="rId4" name="HideThisSheet"/>
      </mc:Fallback>
    </mc:AlternateContent>
    <mc:AlternateContent xmlns:mc="http://schemas.openxmlformats.org/markup-compatibility/2006">
      <mc:Choice Requires="x14">
        <control shapeId="22530" r:id="rId6" name="HideStartStopTimes">
          <controlPr defaultSize="0" print="0" autoLine="0" autoPict="0" altText="Hides &quot;Start and Finish&quot; Column so time entries are presentable when exported by email." r:id="rId7">
            <anchor moveWithCells="1" sizeWithCells="1">
              <from>
                <xdr:col>4</xdr:col>
                <xdr:colOff>0</xdr:colOff>
                <xdr:row>0</xdr:row>
                <xdr:rowOff>0</xdr:rowOff>
              </from>
              <to>
                <xdr:col>5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2530" r:id="rId6" name="HideStartStopTimes"/>
      </mc:Fallback>
    </mc:AlternateContent>
    <mc:AlternateContent xmlns:mc="http://schemas.openxmlformats.org/markup-compatibility/2006">
      <mc:Choice Requires="x14">
        <control shapeId="22531" r:id="rId8" name="RecordStopTime">
          <controlPr defaultSize="0" print="0" autoLine="0" altText="Inserts current time in first empty cell below as the end time for the time entry." r:id="rId9">
            <anchor moveWithCells="1" sizeWithCells="1">
              <from>
                <xdr:col>3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2531" r:id="rId8" name="RecordStopTime"/>
      </mc:Fallback>
    </mc:AlternateContent>
    <mc:AlternateContent xmlns:mc="http://schemas.openxmlformats.org/markup-compatibility/2006">
      <mc:Choice Requires="x14">
        <control shapeId="22532" r:id="rId10" name="DuplicateMatter">
          <controlPr defaultSize="0" print="0" autoLine="0" autoPict="0" altText="Duplicates the matter number of the last time entry in the first empty cell below." r:id="rId11">
            <anchor moveWithCells="1" siz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2532" r:id="rId10" name="DuplicateMatter"/>
      </mc:Fallback>
    </mc:AlternateContent>
    <mc:AlternateContent xmlns:mc="http://schemas.openxmlformats.org/markup-compatibility/2006">
      <mc:Choice Requires="x14">
        <control shapeId="22533" r:id="rId12" name="InsertDate">
          <controlPr defaultSize="0" print="0" autoFill="0" autoLine="0" autoPict="0" altText="Inserts today's date in first empty cell below." r:id="rId9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2533" r:id="rId12" name="InsertDate"/>
      </mc:Fallback>
    </mc:AlternateContent>
    <mc:AlternateContent xmlns:mc="http://schemas.openxmlformats.org/markup-compatibility/2006">
      <mc:Choice Requires="x14">
        <control shapeId="22534" r:id="rId13" name="RecordStartTime">
          <controlPr defaultSize="0" print="0" autoLine="0" altText="Inserts current time in first empty cell below as the start time for the time entry." r:id="rId14">
            <anchor moveWithCells="1" sizeWithCells="1">
              <from>
                <xdr:col>2</xdr:col>
                <xdr:colOff>0</xdr:colOff>
                <xdr:row>0</xdr:row>
                <xdr:rowOff>0</xdr:rowOff>
              </from>
              <to>
                <xdr:col>3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2534" r:id="rId13" name="RecordStartTime"/>
      </mc:Fallback>
    </mc:AlternateContent>
    <mc:AlternateContent xmlns:mc="http://schemas.openxmlformats.org/markup-compatibility/2006">
      <mc:Choice Requires="x14">
        <control shapeId="22535" r:id="rId15" name="DeleteRow">
          <controlPr defaultSize="0" autoLine="0" r:id="rId16">
            <anchor moveWithCells="1">
              <from>
                <xdr:col>5</xdr:col>
                <xdr:colOff>257175</xdr:colOff>
                <xdr:row>0</xdr:row>
                <xdr:rowOff>0</xdr:rowOff>
              </from>
              <to>
                <xdr:col>5</xdr:col>
                <xdr:colOff>514350</xdr:colOff>
                <xdr:row>1</xdr:row>
                <xdr:rowOff>0</xdr:rowOff>
              </to>
            </anchor>
          </controlPr>
        </control>
      </mc:Choice>
      <mc:Fallback>
        <control shapeId="22535" r:id="rId15" name="DeleteRow"/>
      </mc:Fallback>
    </mc:AlternateContent>
    <mc:AlternateContent xmlns:mc="http://schemas.openxmlformats.org/markup-compatibility/2006">
      <mc:Choice Requires="x14">
        <control shapeId="22536" r:id="rId17" name="AddBlankTimeEntries">
          <controlPr defaultSize="0" autoLine="0" altText="Add new &quot;Time Entry&quot; row." r:id="rId18">
            <anchor moveWithCells="1">
              <from>
                <xdr:col>5</xdr:col>
                <xdr:colOff>0</xdr:colOff>
                <xdr:row>0</xdr:row>
                <xdr:rowOff>0</xdr:rowOff>
              </from>
              <to>
                <xdr:col>5</xdr:col>
                <xdr:colOff>247650</xdr:colOff>
                <xdr:row>1</xdr:row>
                <xdr:rowOff>0</xdr:rowOff>
              </to>
            </anchor>
          </controlPr>
        </control>
      </mc:Choice>
      <mc:Fallback>
        <control shapeId="22536" r:id="rId17" name="AddBlankTimeEntrie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65D4A-9B13-4493-8D1A-255E2A5A9A7D}">
  <sheetPr codeName="Sheet1A">
    <tabColor rgb="FFD4CBB4"/>
  </sheetPr>
  <dimension ref="A1:R472"/>
  <sheetViews>
    <sheetView zoomScale="123" zoomScaleNormal="123" workbookViewId="0">
      <pane ySplit="2" topLeftCell="A3" activePane="bottomLeft" state="frozenSplit"/>
      <selection sqref="A1 D26"/>
      <selection pane="bottomLeft"/>
    </sheetView>
  </sheetViews>
  <sheetFormatPr defaultColWidth="23.5703125" defaultRowHeight="14.25" x14ac:dyDescent="0.25"/>
  <cols>
    <col min="1" max="1" width="7.42578125" style="70" customWidth="1"/>
    <col min="2" max="2" width="13.5703125" style="70" customWidth="1"/>
    <col min="3" max="3" width="8" style="70" customWidth="1"/>
    <col min="4" max="4" width="7.42578125" style="70" customWidth="1"/>
    <col min="5" max="5" width="7.5703125" style="70" customWidth="1"/>
    <col min="6" max="6" width="89.42578125" style="539" customWidth="1"/>
    <col min="7" max="7" width="1.28515625" style="71" customWidth="1"/>
    <col min="8" max="8" width="11.42578125" style="70" customWidth="1"/>
    <col min="9" max="16384" width="23.5703125" style="70"/>
  </cols>
  <sheetData>
    <row r="1" spans="1:7" s="73" customFormat="1" ht="34.5" customHeight="1" x14ac:dyDescent="0.25">
      <c r="A1" s="83"/>
      <c r="B1" s="82"/>
      <c r="C1" s="81"/>
      <c r="D1" s="81"/>
      <c r="E1" s="80"/>
      <c r="F1" s="79"/>
      <c r="G1" s="72"/>
    </row>
    <row r="2" spans="1:7" s="73" customFormat="1" ht="20.25" customHeight="1" x14ac:dyDescent="0.25">
      <c r="A2" s="78" t="s">
        <v>163</v>
      </c>
      <c r="B2" s="77" t="s">
        <v>159</v>
      </c>
      <c r="C2" s="76" t="s">
        <v>162</v>
      </c>
      <c r="D2" s="76" t="s">
        <v>161</v>
      </c>
      <c r="E2" s="75" t="s">
        <v>118</v>
      </c>
      <c r="F2" s="74" t="s">
        <v>160</v>
      </c>
      <c r="G2" s="72"/>
    </row>
    <row r="3" spans="1:7" s="55" customFormat="1" ht="13.5" hidden="1" thickBot="1" x14ac:dyDescent="0.3">
      <c r="A3" s="299" t="str">
        <f t="shared" ref="A3" ca="1" si="0">IF(B3&lt;&gt;"",IF(A3="",TODAY(),A3),"")</f>
        <v/>
      </c>
      <c r="B3" s="300"/>
      <c r="C3" s="301"/>
      <c r="D3" s="301"/>
      <c r="E3" s="302">
        <f t="shared" ref="E3" si="1">(((D3-C3)-INT(D3-C3))*24)</f>
        <v>0</v>
      </c>
      <c r="F3" s="303"/>
      <c r="G3" s="56"/>
    </row>
    <row r="4" spans="1:7" s="538" customFormat="1" ht="12.75" x14ac:dyDescent="0.25">
      <c r="A4" s="116">
        <f t="shared" ref="A4" ca="1" si="2">IF(B4&lt;&gt;"",IF(A4="",TODAY(),A4),"")</f>
        <v>43306</v>
      </c>
      <c r="B4" s="117" t="s">
        <v>178</v>
      </c>
      <c r="C4" s="291">
        <v>0.56388888888888888</v>
      </c>
      <c r="D4" s="291">
        <v>0.57361111111111118</v>
      </c>
      <c r="E4" s="119">
        <v>0</v>
      </c>
      <c r="F4" s="120" t="s">
        <v>181</v>
      </c>
      <c r="G4" s="537"/>
    </row>
    <row r="5" spans="1:7" s="538" customFormat="1" ht="12.75" x14ac:dyDescent="0.25">
      <c r="A5" s="116">
        <f t="shared" ref="A5" ca="1" si="3">IF(B5&lt;&gt;"",IF(A5="",TODAY(),A5),"")</f>
        <v>43322</v>
      </c>
      <c r="B5" s="117" t="s">
        <v>178</v>
      </c>
      <c r="C5" s="291">
        <v>43322.85429398148</v>
      </c>
      <c r="D5" s="291">
        <v>0.85902777777777783</v>
      </c>
      <c r="E5" s="119">
        <v>0</v>
      </c>
      <c r="F5" s="120" t="s">
        <v>181</v>
      </c>
      <c r="G5" s="537"/>
    </row>
    <row r="6" spans="1:7" s="538" customFormat="1" ht="12.75" x14ac:dyDescent="0.25">
      <c r="A6" s="116">
        <f t="shared" ref="A6" ca="1" si="4">IF(B6&lt;&gt;"",IF(A6="",TODAY(),A6),"")</f>
        <v>43320</v>
      </c>
      <c r="B6" s="117" t="s">
        <v>178</v>
      </c>
      <c r="C6" s="291">
        <v>0.18472222222222223</v>
      </c>
      <c r="D6" s="291">
        <v>0.2388888888888889</v>
      </c>
      <c r="E6" s="119">
        <v>0</v>
      </c>
      <c r="F6" s="120" t="s">
        <v>181</v>
      </c>
      <c r="G6" s="537"/>
    </row>
    <row r="7" spans="1:7" s="538" customFormat="1" ht="12.75" x14ac:dyDescent="0.25">
      <c r="A7" s="116">
        <f t="shared" ref="A7" ca="1" si="5">IF(B7&lt;&gt;"",IF(A7="",TODAY(),A7),"")</f>
        <v>43318</v>
      </c>
      <c r="B7" s="117" t="s">
        <v>178</v>
      </c>
      <c r="C7" s="291">
        <v>43318.879027777781</v>
      </c>
      <c r="D7" s="291">
        <v>0.88888888888888884</v>
      </c>
      <c r="E7" s="119">
        <v>0</v>
      </c>
      <c r="F7" s="120" t="s">
        <v>181</v>
      </c>
      <c r="G7" s="537"/>
    </row>
    <row r="8" spans="1:7" s="538" customFormat="1" ht="12.75" x14ac:dyDescent="0.25">
      <c r="A8" s="116">
        <f ca="1">IF(B8&lt;&gt;"",IF(A8="",TODAY(),A8),"")</f>
        <v>43318</v>
      </c>
      <c r="B8" s="117" t="s">
        <v>178</v>
      </c>
      <c r="C8" s="291">
        <v>0.58333333333333337</v>
      </c>
      <c r="D8" s="291">
        <v>0.63194444444444442</v>
      </c>
      <c r="E8" s="119">
        <v>0</v>
      </c>
      <c r="F8" s="120" t="s">
        <v>181</v>
      </c>
      <c r="G8" s="537"/>
    </row>
    <row r="9" spans="1:7" s="538" customFormat="1" ht="12.75" x14ac:dyDescent="0.25">
      <c r="A9" s="116">
        <v>43311</v>
      </c>
      <c r="B9" s="117" t="s">
        <v>178</v>
      </c>
      <c r="C9" s="291">
        <v>0.32222222222222224</v>
      </c>
      <c r="D9" s="291">
        <v>0.3430555555555555</v>
      </c>
      <c r="E9" s="119">
        <v>0</v>
      </c>
      <c r="F9" s="120" t="s">
        <v>181</v>
      </c>
      <c r="G9" s="537"/>
    </row>
    <row r="10" spans="1:7" s="538" customFormat="1" ht="12.75" x14ac:dyDescent="0.25">
      <c r="A10" s="116">
        <f ca="1">IF(B10&lt;&gt;"",IF(A10="",TODAY(),A10),"")</f>
        <v>43306</v>
      </c>
      <c r="B10" s="117" t="s">
        <v>178</v>
      </c>
      <c r="C10" s="291">
        <v>0.28472222222222221</v>
      </c>
      <c r="D10" s="291">
        <v>43306.388518518521</v>
      </c>
      <c r="E10" s="119">
        <v>0</v>
      </c>
      <c r="F10" s="120" t="s">
        <v>181</v>
      </c>
      <c r="G10" s="537"/>
    </row>
    <row r="11" spans="1:7" s="538" customFormat="1" ht="12.75" x14ac:dyDescent="0.25">
      <c r="A11" s="116">
        <v>43303</v>
      </c>
      <c r="B11" s="117" t="s">
        <v>178</v>
      </c>
      <c r="C11" s="291">
        <v>0.61111111111111105</v>
      </c>
      <c r="D11" s="291">
        <v>0.82152777777777775</v>
      </c>
      <c r="E11" s="119">
        <v>0</v>
      </c>
      <c r="F11" s="120" t="s">
        <v>181</v>
      </c>
      <c r="G11" s="537"/>
    </row>
    <row r="12" spans="1:7" s="538" customFormat="1" ht="12.75" x14ac:dyDescent="0.25">
      <c r="A12" s="116">
        <v>43303</v>
      </c>
      <c r="B12" s="117" t="s">
        <v>178</v>
      </c>
      <c r="C12" s="291">
        <v>0.41736111111111113</v>
      </c>
      <c r="D12" s="291">
        <v>0.46666666666666662</v>
      </c>
      <c r="E12" s="119">
        <v>0</v>
      </c>
      <c r="F12" s="120" t="s">
        <v>181</v>
      </c>
      <c r="G12" s="537"/>
    </row>
    <row r="13" spans="1:7" s="538" customFormat="1" ht="12.75" x14ac:dyDescent="0.25">
      <c r="A13" s="116">
        <f ca="1">IF(B13&lt;&gt;"",IF(A13="",TODAY(),A13),"")</f>
        <v>43301</v>
      </c>
      <c r="B13" s="117" t="s">
        <v>178</v>
      </c>
      <c r="C13" s="291">
        <v>43301.205740740741</v>
      </c>
      <c r="D13" s="291">
        <v>0.31388888888888888</v>
      </c>
      <c r="E13" s="119">
        <v>0</v>
      </c>
      <c r="F13" s="120" t="s">
        <v>181</v>
      </c>
      <c r="G13" s="537"/>
    </row>
    <row r="14" spans="1:7" s="538" customFormat="1" ht="12.75" x14ac:dyDescent="0.25">
      <c r="A14" s="116">
        <f ca="1">IF(B14&lt;&gt;"",IF(A14="",TODAY(),A14),"")</f>
        <v>43297</v>
      </c>
      <c r="B14" s="117" t="s">
        <v>178</v>
      </c>
      <c r="C14" s="291">
        <v>43297.457696759258</v>
      </c>
      <c r="D14" s="291">
        <v>0.4604166666666667</v>
      </c>
      <c r="E14" s="119">
        <v>0</v>
      </c>
      <c r="F14" s="120" t="s">
        <v>181</v>
      </c>
      <c r="G14" s="537"/>
    </row>
    <row r="15" spans="1:7" s="538" customFormat="1" ht="12.75" x14ac:dyDescent="0.25">
      <c r="A15" s="116">
        <f ca="1">IF(B15&lt;&gt;"",IF(A15="",TODAY(),A15),"")</f>
        <v>43298</v>
      </c>
      <c r="B15" s="117" t="s">
        <v>178</v>
      </c>
      <c r="C15" s="291">
        <v>0.94513888888888886</v>
      </c>
      <c r="D15" s="291">
        <v>0.96666666666666667</v>
      </c>
      <c r="E15" s="119">
        <v>0</v>
      </c>
      <c r="F15" s="120" t="s">
        <v>181</v>
      </c>
      <c r="G15" s="537"/>
    </row>
    <row r="16" spans="1:7" s="538" customFormat="1" ht="12.75" x14ac:dyDescent="0.25">
      <c r="A16" s="116">
        <f t="shared" ref="A16" ca="1" si="6">IF(B16&lt;&gt;"",IF(A16="",TODAY(),A16),"")</f>
        <v>43285</v>
      </c>
      <c r="B16" s="117" t="s">
        <v>178</v>
      </c>
      <c r="C16" s="291">
        <v>0.50486111111111109</v>
      </c>
      <c r="D16" s="291">
        <v>0.56666666666666665</v>
      </c>
      <c r="E16" s="119">
        <v>0</v>
      </c>
      <c r="F16" s="120" t="s">
        <v>181</v>
      </c>
      <c r="G16" s="537"/>
    </row>
    <row r="17" spans="1:7" s="538" customFormat="1" ht="12.75" x14ac:dyDescent="0.25">
      <c r="A17" s="116">
        <v>43281</v>
      </c>
      <c r="B17" s="117" t="s">
        <v>178</v>
      </c>
      <c r="C17" s="291">
        <v>0.75</v>
      </c>
      <c r="D17" s="291">
        <v>0.83333333333333337</v>
      </c>
      <c r="E17" s="119">
        <v>0</v>
      </c>
      <c r="F17" s="120" t="s">
        <v>181</v>
      </c>
      <c r="G17" s="537"/>
    </row>
    <row r="18" spans="1:7" s="538" customFormat="1" ht="12.75" x14ac:dyDescent="0.25">
      <c r="A18" s="116">
        <v>43280</v>
      </c>
      <c r="B18" s="117" t="s">
        <v>178</v>
      </c>
      <c r="C18" s="291">
        <v>0.68125000000000002</v>
      </c>
      <c r="D18" s="291">
        <v>0.875</v>
      </c>
      <c r="E18" s="119">
        <v>0</v>
      </c>
      <c r="F18" s="120" t="s">
        <v>181</v>
      </c>
      <c r="G18" s="537"/>
    </row>
    <row r="19" spans="1:7" s="538" customFormat="1" ht="12.75" x14ac:dyDescent="0.25">
      <c r="A19" s="116">
        <f ca="1">IF(B19&lt;&gt;"",IF(A19="",TODAY(),A19),"")</f>
        <v>43245</v>
      </c>
      <c r="B19" s="117" t="s">
        <v>178</v>
      </c>
      <c r="C19" s="291">
        <v>0.34027777777777773</v>
      </c>
      <c r="D19" s="291">
        <v>0.35416666666666669</v>
      </c>
      <c r="E19" s="119">
        <v>0</v>
      </c>
      <c r="F19" s="120" t="s">
        <v>181</v>
      </c>
      <c r="G19" s="537"/>
    </row>
    <row r="20" spans="1:7" s="538" customFormat="1" ht="12.75" x14ac:dyDescent="0.25">
      <c r="A20" s="116">
        <f ca="1">IF(B20&lt;&gt;"",IF(A20="",TODAY(),A20),"")</f>
        <v>43277</v>
      </c>
      <c r="B20" s="117" t="s">
        <v>178</v>
      </c>
      <c r="C20" s="291">
        <v>0.50138888888888888</v>
      </c>
      <c r="D20" s="291">
        <v>0.53611111111111109</v>
      </c>
      <c r="E20" s="119">
        <v>0</v>
      </c>
      <c r="F20" s="120" t="s">
        <v>181</v>
      </c>
      <c r="G20" s="537"/>
    </row>
    <row r="21" spans="1:7" s="538" customFormat="1" ht="12.75" x14ac:dyDescent="0.25">
      <c r="A21" s="116">
        <f ca="1">IF(B21&lt;&gt;"",IF(A21="",TODAY(),A21),"")</f>
        <v>43277</v>
      </c>
      <c r="B21" s="117" t="s">
        <v>178</v>
      </c>
      <c r="C21" s="291">
        <v>0.3520833333333333</v>
      </c>
      <c r="D21" s="291">
        <v>0.42291666666666666</v>
      </c>
      <c r="E21" s="119">
        <v>0</v>
      </c>
      <c r="F21" s="120" t="s">
        <v>181</v>
      </c>
      <c r="G21" s="537"/>
    </row>
    <row r="22" spans="1:7" s="538" customFormat="1" ht="12.75" x14ac:dyDescent="0.25">
      <c r="A22" s="116">
        <f t="shared" ref="A22:A38" ca="1" si="7">IF(B22&lt;&gt;"",IF(A22="",TODAY(),A22),"")</f>
        <v>43263</v>
      </c>
      <c r="B22" s="117" t="s">
        <v>178</v>
      </c>
      <c r="C22" s="291">
        <v>0.58333333333333337</v>
      </c>
      <c r="D22" s="291">
        <v>0.62986111111111109</v>
      </c>
      <c r="E22" s="119">
        <v>0</v>
      </c>
      <c r="F22" s="120" t="s">
        <v>181</v>
      </c>
      <c r="G22" s="537"/>
    </row>
    <row r="23" spans="1:7" s="538" customFormat="1" ht="12.75" x14ac:dyDescent="0.25">
      <c r="A23" s="116">
        <f t="shared" ca="1" si="7"/>
        <v>43263</v>
      </c>
      <c r="B23" s="117" t="s">
        <v>178</v>
      </c>
      <c r="C23" s="291">
        <v>0.21527777777777779</v>
      </c>
      <c r="D23" s="291">
        <v>0.23055555555555554</v>
      </c>
      <c r="E23" s="119">
        <v>0</v>
      </c>
      <c r="F23" s="120" t="s">
        <v>181</v>
      </c>
      <c r="G23" s="537"/>
    </row>
    <row r="24" spans="1:7" s="538" customFormat="1" ht="12.75" x14ac:dyDescent="0.25">
      <c r="A24" s="116">
        <f t="shared" ca="1" si="7"/>
        <v>43262</v>
      </c>
      <c r="B24" s="117" t="s">
        <v>178</v>
      </c>
      <c r="C24" s="291"/>
      <c r="D24" s="291"/>
      <c r="E24" s="119">
        <f>(((D24-C24)-INT(D24-C24))*24)</f>
        <v>0</v>
      </c>
      <c r="F24" s="120" t="s">
        <v>181</v>
      </c>
      <c r="G24" s="537"/>
    </row>
    <row r="25" spans="1:7" s="538" customFormat="1" ht="12.75" x14ac:dyDescent="0.25">
      <c r="A25" s="116">
        <f t="shared" ca="1" si="7"/>
        <v>43255</v>
      </c>
      <c r="B25" s="117" t="s">
        <v>178</v>
      </c>
      <c r="C25" s="291">
        <v>5.9027777777777783E-2</v>
      </c>
      <c r="D25" s="291">
        <v>0.16666666666666666</v>
      </c>
      <c r="E25" s="119">
        <v>0</v>
      </c>
      <c r="F25" s="120" t="s">
        <v>181</v>
      </c>
      <c r="G25" s="537"/>
    </row>
    <row r="26" spans="1:7" s="538" customFormat="1" ht="12.75" x14ac:dyDescent="0.25">
      <c r="A26" s="116">
        <f t="shared" ca="1" si="7"/>
        <v>43247</v>
      </c>
      <c r="B26" s="117" t="s">
        <v>178</v>
      </c>
      <c r="C26" s="291">
        <v>0.91666666666666663</v>
      </c>
      <c r="D26" s="291">
        <v>5.6944444444444443E-2</v>
      </c>
      <c r="E26" s="119">
        <v>0</v>
      </c>
      <c r="F26" s="120" t="s">
        <v>181</v>
      </c>
      <c r="G26" s="537"/>
    </row>
    <row r="27" spans="1:7" s="538" customFormat="1" ht="12.75" x14ac:dyDescent="0.25">
      <c r="A27" s="116">
        <f t="shared" ca="1" si="7"/>
        <v>43250</v>
      </c>
      <c r="B27" s="117" t="s">
        <v>178</v>
      </c>
      <c r="C27" s="291">
        <v>43250.289699074077</v>
      </c>
      <c r="D27" s="291">
        <v>0.46527777777777773</v>
      </c>
      <c r="E27" s="119">
        <v>0</v>
      </c>
      <c r="F27" s="120" t="s">
        <v>181</v>
      </c>
      <c r="G27" s="537"/>
    </row>
    <row r="28" spans="1:7" s="538" customFormat="1" ht="12.75" x14ac:dyDescent="0.25">
      <c r="A28" s="116">
        <f t="shared" ca="1" si="7"/>
        <v>43228</v>
      </c>
      <c r="B28" s="117" t="s">
        <v>178</v>
      </c>
      <c r="C28" s="291">
        <v>0.51180555555555551</v>
      </c>
      <c r="D28" s="291">
        <v>0.53333333333333333</v>
      </c>
      <c r="E28" s="119">
        <v>0</v>
      </c>
      <c r="F28" s="120" t="s">
        <v>181</v>
      </c>
      <c r="G28" s="537"/>
    </row>
    <row r="29" spans="1:7" s="538" customFormat="1" ht="12.75" x14ac:dyDescent="0.25">
      <c r="A29" s="116">
        <f t="shared" ca="1" si="7"/>
        <v>43242</v>
      </c>
      <c r="B29" s="117" t="s">
        <v>178</v>
      </c>
      <c r="C29" s="291">
        <v>43243.059675925928</v>
      </c>
      <c r="D29" s="291">
        <v>0.16111111111111112</v>
      </c>
      <c r="E29" s="119">
        <v>0</v>
      </c>
      <c r="F29" s="120" t="s">
        <v>181</v>
      </c>
      <c r="G29" s="537"/>
    </row>
    <row r="30" spans="1:7" s="538" customFormat="1" ht="12.75" x14ac:dyDescent="0.25">
      <c r="A30" s="116">
        <f t="shared" ca="1" si="7"/>
        <v>43242</v>
      </c>
      <c r="B30" s="117" t="s">
        <v>178</v>
      </c>
      <c r="C30" s="291">
        <v>0.44791666666666669</v>
      </c>
      <c r="D30" s="291">
        <v>0.48402777777777778</v>
      </c>
      <c r="E30" s="119">
        <v>0</v>
      </c>
      <c r="F30" s="120" t="s">
        <v>181</v>
      </c>
      <c r="G30" s="537"/>
    </row>
    <row r="31" spans="1:7" s="538" customFormat="1" ht="12.75" x14ac:dyDescent="0.25">
      <c r="A31" s="116">
        <f t="shared" ca="1" si="7"/>
        <v>43236</v>
      </c>
      <c r="B31" s="117" t="s">
        <v>178</v>
      </c>
      <c r="C31" s="291">
        <v>0.75694444444444453</v>
      </c>
      <c r="D31" s="291">
        <v>0.78125</v>
      </c>
      <c r="E31" s="119">
        <v>0</v>
      </c>
      <c r="F31" s="120" t="s">
        <v>181</v>
      </c>
      <c r="G31" s="537"/>
    </row>
    <row r="32" spans="1:7" s="538" customFormat="1" ht="12.75" x14ac:dyDescent="0.25">
      <c r="A32" s="116">
        <f t="shared" ca="1" si="7"/>
        <v>43236</v>
      </c>
      <c r="B32" s="117" t="s">
        <v>178</v>
      </c>
      <c r="C32" s="291">
        <v>43236.644143518519</v>
      </c>
      <c r="D32" s="291">
        <v>0.72430555555555554</v>
      </c>
      <c r="E32" s="119">
        <f>(((D32-C32)-INT(D32-C32))*24)</f>
        <v>1.9238888889667578</v>
      </c>
      <c r="F32" s="120" t="s">
        <v>181</v>
      </c>
      <c r="G32" s="537"/>
    </row>
    <row r="33" spans="1:7" s="538" customFormat="1" ht="12.75" x14ac:dyDescent="0.25">
      <c r="A33" s="116">
        <f t="shared" ca="1" si="7"/>
        <v>43236</v>
      </c>
      <c r="B33" s="117" t="s">
        <v>178</v>
      </c>
      <c r="C33" s="291">
        <v>0.63888888888888895</v>
      </c>
      <c r="D33" s="291">
        <v>0.64097222222222217</v>
      </c>
      <c r="E33" s="119">
        <f>(((D33-C33)-INT(D33-C33))*24)</f>
        <v>4.9999999999997158E-2</v>
      </c>
      <c r="F33" s="120" t="s">
        <v>181</v>
      </c>
      <c r="G33" s="537"/>
    </row>
    <row r="34" spans="1:7" s="538" customFormat="1" ht="12.75" x14ac:dyDescent="0.25">
      <c r="A34" s="116">
        <f t="shared" ca="1" si="7"/>
        <v>43234</v>
      </c>
      <c r="B34" s="117" t="s">
        <v>178</v>
      </c>
      <c r="C34" s="291">
        <v>0.20138888888888887</v>
      </c>
      <c r="D34" s="291">
        <v>0.20625000000000002</v>
      </c>
      <c r="E34" s="119">
        <v>0</v>
      </c>
      <c r="F34" s="120" t="s">
        <v>181</v>
      </c>
      <c r="G34" s="537"/>
    </row>
    <row r="35" spans="1:7" s="538" customFormat="1" ht="12.75" x14ac:dyDescent="0.25">
      <c r="A35" s="116">
        <f t="shared" ca="1" si="7"/>
        <v>43233</v>
      </c>
      <c r="B35" s="117" t="s">
        <v>178</v>
      </c>
      <c r="C35" s="291">
        <v>0.97986111111111107</v>
      </c>
      <c r="D35" s="291">
        <v>0.13749999999999998</v>
      </c>
      <c r="E35" s="119">
        <v>0</v>
      </c>
      <c r="F35" s="120" t="s">
        <v>181</v>
      </c>
      <c r="G35" s="537"/>
    </row>
    <row r="36" spans="1:7" s="538" customFormat="1" ht="12.75" x14ac:dyDescent="0.25">
      <c r="A36" s="116">
        <f t="shared" ca="1" si="7"/>
        <v>43231</v>
      </c>
      <c r="B36" s="117" t="s">
        <v>178</v>
      </c>
      <c r="C36" s="291">
        <v>0.71180555555555547</v>
      </c>
      <c r="D36" s="291">
        <v>43231.732187499998</v>
      </c>
      <c r="E36" s="119">
        <v>0</v>
      </c>
      <c r="F36" s="120" t="s">
        <v>181</v>
      </c>
      <c r="G36" s="537"/>
    </row>
    <row r="37" spans="1:7" s="538" customFormat="1" ht="12.75" x14ac:dyDescent="0.25">
      <c r="A37" s="116">
        <f t="shared" ca="1" si="7"/>
        <v>43230</v>
      </c>
      <c r="B37" s="117" t="s">
        <v>178</v>
      </c>
      <c r="C37" s="291">
        <v>0.11458333333333333</v>
      </c>
      <c r="D37" s="291">
        <v>0.28055555555555556</v>
      </c>
      <c r="E37" s="119">
        <v>0</v>
      </c>
      <c r="F37" s="120" t="s">
        <v>181</v>
      </c>
      <c r="G37" s="537"/>
    </row>
    <row r="38" spans="1:7" s="538" customFormat="1" ht="12.75" x14ac:dyDescent="0.25">
      <c r="A38" s="116">
        <f t="shared" ca="1" si="7"/>
        <v>43230</v>
      </c>
      <c r="B38" s="117" t="s">
        <v>178</v>
      </c>
      <c r="C38" s="291">
        <v>0</v>
      </c>
      <c r="D38" s="291">
        <v>9.930555555555555E-2</v>
      </c>
      <c r="E38" s="119">
        <f>(((D38-C38)-INT(D38-C38))*24)</f>
        <v>2.3833333333333333</v>
      </c>
      <c r="F38" s="120" t="s">
        <v>181</v>
      </c>
      <c r="G38" s="537"/>
    </row>
    <row r="39" spans="1:7" s="538" customFormat="1" ht="12.75" x14ac:dyDescent="0.25">
      <c r="A39" s="116">
        <v>43227</v>
      </c>
      <c r="B39" s="117" t="s">
        <v>178</v>
      </c>
      <c r="C39" s="291">
        <v>0.60555555555555551</v>
      </c>
      <c r="D39" s="291">
        <v>0.68888888888888899</v>
      </c>
      <c r="E39" s="119">
        <f>(((D39-C39)-INT(D39-C39))*24)</f>
        <v>2.0000000000000036</v>
      </c>
      <c r="F39" s="120" t="s">
        <v>181</v>
      </c>
      <c r="G39" s="537"/>
    </row>
    <row r="40" spans="1:7" s="538" customFormat="1" ht="12.75" x14ac:dyDescent="0.25">
      <c r="A40" s="116">
        <f t="shared" ref="A40:A58" ca="1" si="8">IF(B40&lt;&gt;"",IF(A40="",TODAY(),A40),"")</f>
        <v>43228</v>
      </c>
      <c r="B40" s="117" t="s">
        <v>178</v>
      </c>
      <c r="C40" s="291">
        <v>0.40347222222222223</v>
      </c>
      <c r="D40" s="291">
        <v>0.51041666666666663</v>
      </c>
      <c r="E40" s="119">
        <v>0</v>
      </c>
      <c r="F40" s="120" t="s">
        <v>181</v>
      </c>
      <c r="G40" s="537"/>
    </row>
    <row r="41" spans="1:7" s="538" customFormat="1" ht="12.75" x14ac:dyDescent="0.25">
      <c r="A41" s="116">
        <f t="shared" ca="1" si="8"/>
        <v>43228</v>
      </c>
      <c r="B41" s="117" t="s">
        <v>178</v>
      </c>
      <c r="C41" s="291">
        <v>43228.042546296296</v>
      </c>
      <c r="D41" s="291">
        <v>0.10069444444444443</v>
      </c>
      <c r="E41" s="119">
        <v>0</v>
      </c>
      <c r="F41" s="120" t="s">
        <v>181</v>
      </c>
      <c r="G41" s="537"/>
    </row>
    <row r="42" spans="1:7" s="538" customFormat="1" ht="12.75" x14ac:dyDescent="0.25">
      <c r="A42" s="116">
        <f t="shared" ca="1" si="8"/>
        <v>43226</v>
      </c>
      <c r="B42" s="117" t="s">
        <v>178</v>
      </c>
      <c r="C42" s="291">
        <v>0.38194444444444442</v>
      </c>
      <c r="D42" s="291">
        <v>0.45833333333333331</v>
      </c>
      <c r="E42" s="119">
        <v>0</v>
      </c>
      <c r="F42" s="120" t="s">
        <v>181</v>
      </c>
      <c r="G42" s="537"/>
    </row>
    <row r="43" spans="1:7" s="538" customFormat="1" ht="12.75" x14ac:dyDescent="0.25">
      <c r="A43" s="116">
        <f t="shared" ca="1" si="8"/>
        <v>43224</v>
      </c>
      <c r="B43" s="117" t="s">
        <v>178</v>
      </c>
      <c r="C43" s="291">
        <v>43224.530752314815</v>
      </c>
      <c r="D43" s="291">
        <v>0.60138888888888886</v>
      </c>
      <c r="E43" s="119">
        <f>(((D43-C43)-INT(D43-C43))*24)+0.9+0.4</f>
        <v>2.9952777778496964</v>
      </c>
      <c r="F43" s="120" t="s">
        <v>181</v>
      </c>
      <c r="G43" s="537"/>
    </row>
    <row r="44" spans="1:7" s="538" customFormat="1" ht="12.75" x14ac:dyDescent="0.25">
      <c r="A44" s="116">
        <f t="shared" ca="1" si="8"/>
        <v>43224</v>
      </c>
      <c r="B44" s="117" t="s">
        <v>178</v>
      </c>
      <c r="C44" s="291">
        <v>0.70277777777777783</v>
      </c>
      <c r="D44" s="291">
        <v>0.71944444444444444</v>
      </c>
      <c r="E44" s="119">
        <v>0</v>
      </c>
      <c r="F44" s="120" t="s">
        <v>181</v>
      </c>
      <c r="G44" s="537"/>
    </row>
    <row r="45" spans="1:7" s="538" customFormat="1" ht="12.75" x14ac:dyDescent="0.25">
      <c r="A45" s="116">
        <f t="shared" ca="1" si="8"/>
        <v>43224</v>
      </c>
      <c r="B45" s="117" t="s">
        <v>178</v>
      </c>
      <c r="C45" s="291">
        <v>43224.613564814812</v>
      </c>
      <c r="D45" s="291">
        <v>0.65069444444444446</v>
      </c>
      <c r="E45" s="119">
        <v>0</v>
      </c>
      <c r="F45" s="120" t="s">
        <v>181</v>
      </c>
      <c r="G45" s="537"/>
    </row>
    <row r="46" spans="1:7" s="538" customFormat="1" ht="12.75" x14ac:dyDescent="0.25">
      <c r="A46" s="116">
        <f t="shared" ca="1" si="8"/>
        <v>43220</v>
      </c>
      <c r="B46" s="117" t="s">
        <v>178</v>
      </c>
      <c r="C46" s="291">
        <v>0.44791666666666669</v>
      </c>
      <c r="D46" s="291">
        <v>0.47222222222222227</v>
      </c>
      <c r="E46" s="119">
        <f>(((D46-C46)-INT(D46-C46))*24)</f>
        <v>0.58333333333333393</v>
      </c>
      <c r="F46" s="120" t="s">
        <v>181</v>
      </c>
      <c r="G46" s="537"/>
    </row>
    <row r="47" spans="1:7" s="538" customFormat="1" ht="12.75" x14ac:dyDescent="0.25">
      <c r="A47" s="116">
        <f t="shared" ca="1" si="8"/>
        <v>43171</v>
      </c>
      <c r="B47" s="117" t="s">
        <v>178</v>
      </c>
      <c r="C47" s="291">
        <v>0.625</v>
      </c>
      <c r="D47" s="291">
        <v>0.63888888888888895</v>
      </c>
      <c r="E47" s="119">
        <f>(((D47-C47)-INT(D47-C47))*24)</f>
        <v>0.33333333333333481</v>
      </c>
      <c r="F47" s="120" t="s">
        <v>181</v>
      </c>
      <c r="G47" s="537"/>
    </row>
    <row r="48" spans="1:7" s="538" customFormat="1" ht="12.75" x14ac:dyDescent="0.25">
      <c r="A48" s="116">
        <f t="shared" ca="1" si="8"/>
        <v>43220</v>
      </c>
      <c r="B48" s="117" t="s">
        <v>178</v>
      </c>
      <c r="C48" s="291">
        <v>0.23402777777777781</v>
      </c>
      <c r="D48" s="291">
        <v>0.31736111111111115</v>
      </c>
      <c r="E48" s="119">
        <f>(((D48-C48)-INT(D48-C48))*24)</f>
        <v>2</v>
      </c>
      <c r="F48" s="120" t="s">
        <v>181</v>
      </c>
      <c r="G48" s="537"/>
    </row>
    <row r="49" spans="1:7" s="538" customFormat="1" ht="12.75" x14ac:dyDescent="0.25">
      <c r="A49" s="116">
        <f t="shared" ca="1" si="8"/>
        <v>43210</v>
      </c>
      <c r="B49" s="117" t="s">
        <v>178</v>
      </c>
      <c r="C49" s="291">
        <v>43210.328842592593</v>
      </c>
      <c r="D49" s="291">
        <v>43210.393067129633</v>
      </c>
      <c r="E49" s="119">
        <f>(((D49-C49)-INT(D49-C49))*24)+0.9</f>
        <v>2.4413888889597728</v>
      </c>
      <c r="F49" s="120" t="s">
        <v>181</v>
      </c>
      <c r="G49" s="537"/>
    </row>
    <row r="50" spans="1:7" s="538" customFormat="1" ht="12.75" x14ac:dyDescent="0.25">
      <c r="A50" s="116">
        <f t="shared" ca="1" si="8"/>
        <v>43208</v>
      </c>
      <c r="B50" s="117" t="s">
        <v>178</v>
      </c>
      <c r="C50" s="291">
        <v>0.15277777777777776</v>
      </c>
      <c r="D50" s="291">
        <v>0.19444444444444445</v>
      </c>
      <c r="E50" s="119">
        <f>(((D50-C50)-INT(D50-C50))*24)+0.3+2.3+0.9+1.7</f>
        <v>6.2000000000000011</v>
      </c>
      <c r="F50" s="120" t="s">
        <v>181</v>
      </c>
      <c r="G50" s="537"/>
    </row>
    <row r="51" spans="1:7" s="538" customFormat="1" ht="12.75" x14ac:dyDescent="0.25">
      <c r="A51" s="116">
        <f t="shared" ca="1" si="8"/>
        <v>43207</v>
      </c>
      <c r="B51" s="117" t="s">
        <v>178</v>
      </c>
      <c r="C51" s="291">
        <v>0.94652777777777775</v>
      </c>
      <c r="D51" s="291">
        <v>6.1805555555555558E-2</v>
      </c>
      <c r="E51" s="119">
        <f>(((D51-C51)-INT(D51-C51))*24)</f>
        <v>2.7666666666666675</v>
      </c>
      <c r="F51" s="120" t="s">
        <v>181</v>
      </c>
      <c r="G51" s="537"/>
    </row>
    <row r="52" spans="1:7" s="538" customFormat="1" ht="12.75" x14ac:dyDescent="0.25">
      <c r="A52" s="116">
        <f t="shared" ca="1" si="8"/>
        <v>43220</v>
      </c>
      <c r="B52" s="117" t="s">
        <v>178</v>
      </c>
      <c r="C52" s="291">
        <v>43220.554791666669</v>
      </c>
      <c r="D52" s="291">
        <v>0.57361111111111118</v>
      </c>
      <c r="E52" s="119">
        <f>(((D52-C52)-INT(D52-C52))*24)</f>
        <v>0.45166666660225019</v>
      </c>
      <c r="F52" s="120" t="s">
        <v>181</v>
      </c>
      <c r="G52" s="537"/>
    </row>
    <row r="53" spans="1:7" s="538" customFormat="1" ht="12.75" x14ac:dyDescent="0.25">
      <c r="A53" s="116">
        <f t="shared" ca="1" si="8"/>
        <v>43220</v>
      </c>
      <c r="B53" s="117" t="s">
        <v>178</v>
      </c>
      <c r="C53" s="291">
        <v>0.19791666666666666</v>
      </c>
      <c r="D53" s="291">
        <v>0.23402777777777781</v>
      </c>
      <c r="E53" s="119">
        <f>(((D53-C53)-INT(D53-C53))*24)</f>
        <v>0.86666666666666758</v>
      </c>
      <c r="F53" s="120" t="s">
        <v>181</v>
      </c>
      <c r="G53" s="537"/>
    </row>
    <row r="54" spans="1:7" s="538" customFormat="1" ht="12.75" x14ac:dyDescent="0.25">
      <c r="A54" s="116">
        <f t="shared" ca="1" si="8"/>
        <v>43201</v>
      </c>
      <c r="B54" s="117" t="s">
        <v>178</v>
      </c>
      <c r="C54" s="291">
        <v>0.97222222222222221</v>
      </c>
      <c r="D54" s="291">
        <v>0.17916666666666667</v>
      </c>
      <c r="E54" s="119">
        <f>(((D54-C54)-INT(D54-C54))*24)</f>
        <v>4.9666666666666677</v>
      </c>
      <c r="F54" s="120" t="s">
        <v>181</v>
      </c>
      <c r="G54" s="537"/>
    </row>
    <row r="55" spans="1:7" s="538" customFormat="1" ht="12.75" x14ac:dyDescent="0.25">
      <c r="A55" s="116">
        <f t="shared" ca="1" si="8"/>
        <v>43200</v>
      </c>
      <c r="B55" s="117" t="s">
        <v>178</v>
      </c>
      <c r="C55" s="291">
        <v>43200.554872685185</v>
      </c>
      <c r="D55" s="291">
        <v>0.58333333333333337</v>
      </c>
      <c r="E55" s="119">
        <f>(((D55-C55)-INT(D55-C55))*24)+6.6</f>
        <v>7.2830555556225587</v>
      </c>
      <c r="F55" s="120" t="s">
        <v>181</v>
      </c>
      <c r="G55" s="537"/>
    </row>
    <row r="56" spans="1:7" s="538" customFormat="1" ht="12.75" x14ac:dyDescent="0.25">
      <c r="A56" s="116">
        <f t="shared" ca="1" si="8"/>
        <v>43192</v>
      </c>
      <c r="B56" s="117" t="s">
        <v>178</v>
      </c>
      <c r="C56" s="291">
        <v>0.88611111111111107</v>
      </c>
      <c r="D56" s="291">
        <v>0.12708333333333333</v>
      </c>
      <c r="E56" s="119">
        <f>(((D56-C56)-INT(D56-C56))*24)</f>
        <v>5.7833333333333341</v>
      </c>
      <c r="F56" s="120" t="s">
        <v>181</v>
      </c>
      <c r="G56" s="537"/>
    </row>
    <row r="57" spans="1:7" s="538" customFormat="1" ht="12.75" x14ac:dyDescent="0.25">
      <c r="A57" s="116">
        <f t="shared" ca="1" si="8"/>
        <v>43189</v>
      </c>
      <c r="B57" s="117" t="s">
        <v>178</v>
      </c>
      <c r="C57" s="291">
        <v>0.16666666666666666</v>
      </c>
      <c r="D57" s="291">
        <v>0.20833333333333334</v>
      </c>
      <c r="E57" s="119">
        <f>(((D57-C57)-INT(D57-C57))*24)+6.5</f>
        <v>7.5</v>
      </c>
      <c r="F57" s="120" t="s">
        <v>181</v>
      </c>
      <c r="G57" s="537"/>
    </row>
    <row r="58" spans="1:7" s="538" customFormat="1" ht="12.75" x14ac:dyDescent="0.25">
      <c r="A58" s="116">
        <f t="shared" ca="1" si="8"/>
        <v>43187</v>
      </c>
      <c r="B58" s="117" t="s">
        <v>178</v>
      </c>
      <c r="C58" s="291">
        <v>0.29166666666666669</v>
      </c>
      <c r="D58" s="291">
        <v>0.38750000000000001</v>
      </c>
      <c r="E58" s="119">
        <f>(((D58-C58)-INT(D58-C58))*24)</f>
        <v>2.2999999999999998</v>
      </c>
      <c r="F58" s="120" t="s">
        <v>181</v>
      </c>
      <c r="G58" s="537"/>
    </row>
    <row r="59" spans="1:7" s="538" customFormat="1" ht="12.75" x14ac:dyDescent="0.25">
      <c r="A59" s="116">
        <v>43182</v>
      </c>
      <c r="B59" s="117" t="s">
        <v>178</v>
      </c>
      <c r="C59" s="291">
        <v>0.61111111111111105</v>
      </c>
      <c r="D59" s="291">
        <v>0.61944444444444446</v>
      </c>
      <c r="E59" s="119">
        <f>(((D59-C59)-INT(D59-C59))*24)</f>
        <v>0.20000000000000195</v>
      </c>
      <c r="F59" s="120" t="s">
        <v>181</v>
      </c>
      <c r="G59" s="537"/>
    </row>
    <row r="60" spans="1:7" s="538" customFormat="1" ht="12.75" x14ac:dyDescent="0.25">
      <c r="A60" s="116">
        <f t="shared" ref="A60:A73" ca="1" si="9">IF(B60&lt;&gt;"",IF(A60="",TODAY(),A60),"")</f>
        <v>43220</v>
      </c>
      <c r="B60" s="117" t="s">
        <v>178</v>
      </c>
      <c r="C60" s="291">
        <v>0.32083333333333336</v>
      </c>
      <c r="D60" s="291">
        <v>0.33680555555555558</v>
      </c>
      <c r="E60" s="119">
        <f>(((D60-C60)-INT(D60-C60))*24)</f>
        <v>0.3833333333333333</v>
      </c>
      <c r="F60" s="120" t="s">
        <v>181</v>
      </c>
      <c r="G60" s="537"/>
    </row>
    <row r="61" spans="1:7" s="538" customFormat="1" ht="12.75" x14ac:dyDescent="0.25">
      <c r="A61" s="116">
        <f t="shared" ca="1" si="9"/>
        <v>43210</v>
      </c>
      <c r="B61" s="117" t="s">
        <v>178</v>
      </c>
      <c r="C61" s="291">
        <v>0.52152777777777781</v>
      </c>
      <c r="D61" s="291">
        <v>0.56041666666666667</v>
      </c>
      <c r="E61" s="119">
        <v>0</v>
      </c>
      <c r="F61" s="120" t="s">
        <v>181</v>
      </c>
      <c r="G61" s="537"/>
    </row>
    <row r="62" spans="1:7" s="538" customFormat="1" ht="12.75" x14ac:dyDescent="0.25">
      <c r="A62" s="116">
        <f t="shared" ca="1" si="9"/>
        <v>43214</v>
      </c>
      <c r="B62" s="117" t="s">
        <v>178</v>
      </c>
      <c r="C62" s="291">
        <v>0.5493055555555556</v>
      </c>
      <c r="D62" s="291">
        <v>0.61111111111111105</v>
      </c>
      <c r="E62" s="119">
        <f>(((D62-C62)-INT(D62-C62))*24)</f>
        <v>1.4833333333333307</v>
      </c>
      <c r="F62" s="120" t="s">
        <v>181</v>
      </c>
      <c r="G62" s="537"/>
    </row>
    <row r="63" spans="1:7" s="538" customFormat="1" ht="12.75" x14ac:dyDescent="0.25">
      <c r="A63" s="116">
        <f t="shared" ca="1" si="9"/>
        <v>43214</v>
      </c>
      <c r="B63" s="117" t="s">
        <v>178</v>
      </c>
      <c r="C63" s="291">
        <v>43214.113518518519</v>
      </c>
      <c r="D63" s="291">
        <v>0.26319444444444445</v>
      </c>
      <c r="E63" s="119">
        <f>(((D63-C63)-INT(D63-C63))*24)+1.6</f>
        <v>5.1922222221852277</v>
      </c>
      <c r="F63" s="120" t="s">
        <v>181</v>
      </c>
      <c r="G63" s="537"/>
    </row>
    <row r="64" spans="1:7" s="538" customFormat="1" ht="12.75" x14ac:dyDescent="0.25">
      <c r="A64" s="116">
        <f t="shared" ca="1" si="9"/>
        <v>43213</v>
      </c>
      <c r="B64" s="117" t="s">
        <v>178</v>
      </c>
      <c r="C64" s="291">
        <v>0.28125</v>
      </c>
      <c r="D64" s="291">
        <v>0.40972222222222227</v>
      </c>
      <c r="E64" s="119">
        <f>(((D64-C64)-INT(D64-C64))*24)+0.9</f>
        <v>3.9833333333333343</v>
      </c>
      <c r="F64" s="120" t="s">
        <v>181</v>
      </c>
      <c r="G64" s="537"/>
    </row>
    <row r="65" spans="1:18" s="538" customFormat="1" ht="12.75" x14ac:dyDescent="0.25">
      <c r="A65" s="116">
        <f t="shared" ca="1" si="9"/>
        <v>43213</v>
      </c>
      <c r="B65" s="117" t="s">
        <v>178</v>
      </c>
      <c r="C65" s="291">
        <v>43213.584756944445</v>
      </c>
      <c r="D65" s="291">
        <v>0.62361111111111112</v>
      </c>
      <c r="E65" s="119">
        <v>0</v>
      </c>
      <c r="F65" s="120" t="s">
        <v>181</v>
      </c>
      <c r="G65" s="537"/>
    </row>
    <row r="66" spans="1:18" s="538" customFormat="1" ht="12.75" x14ac:dyDescent="0.25">
      <c r="A66" s="116">
        <f t="shared" ca="1" si="9"/>
        <v>43214</v>
      </c>
      <c r="B66" s="117" t="s">
        <v>178</v>
      </c>
      <c r="C66" s="291">
        <v>0.39097222222222222</v>
      </c>
      <c r="D66" s="291">
        <v>0.45555555555555555</v>
      </c>
      <c r="E66" s="119">
        <v>0</v>
      </c>
      <c r="F66" s="120" t="s">
        <v>181</v>
      </c>
      <c r="G66" s="537"/>
    </row>
    <row r="67" spans="1:18" s="538" customFormat="1" ht="12.75" x14ac:dyDescent="0.25">
      <c r="A67" s="116">
        <f t="shared" ca="1" si="9"/>
        <v>43208</v>
      </c>
      <c r="B67" s="117" t="s">
        <v>178</v>
      </c>
      <c r="C67" s="291">
        <v>0.4375</v>
      </c>
      <c r="D67" s="291">
        <v>0.5083333333333333</v>
      </c>
      <c r="E67" s="119">
        <v>0</v>
      </c>
      <c r="F67" s="120" t="s">
        <v>181</v>
      </c>
      <c r="G67" s="537"/>
    </row>
    <row r="68" spans="1:18" s="538" customFormat="1" ht="12.75" x14ac:dyDescent="0.25">
      <c r="A68" s="116">
        <f t="shared" ca="1" si="9"/>
        <v>43208</v>
      </c>
      <c r="B68" s="117" t="s">
        <v>178</v>
      </c>
      <c r="C68" s="291">
        <v>0.39652777777777781</v>
      </c>
      <c r="D68" s="291">
        <v>0.43541666666666662</v>
      </c>
      <c r="E68" s="119">
        <v>0</v>
      </c>
      <c r="F68" s="120" t="s">
        <v>181</v>
      </c>
      <c r="G68" s="537"/>
    </row>
    <row r="69" spans="1:18" s="538" customFormat="1" ht="12.75" x14ac:dyDescent="0.25">
      <c r="A69" s="116">
        <f t="shared" ca="1" si="9"/>
        <v>43208</v>
      </c>
      <c r="B69" s="117" t="s">
        <v>178</v>
      </c>
      <c r="C69" s="291">
        <v>0.25</v>
      </c>
      <c r="D69" s="291">
        <v>0.34583333333333338</v>
      </c>
      <c r="E69" s="119">
        <v>0</v>
      </c>
      <c r="F69" s="120" t="s">
        <v>181</v>
      </c>
      <c r="G69" s="537"/>
    </row>
    <row r="70" spans="1:18" s="538" customFormat="1" ht="12.75" x14ac:dyDescent="0.25">
      <c r="A70" s="116">
        <f t="shared" ca="1" si="9"/>
        <v>43208</v>
      </c>
      <c r="B70" s="117" t="s">
        <v>178</v>
      </c>
      <c r="C70" s="291">
        <v>0.20902777777777778</v>
      </c>
      <c r="D70" s="291">
        <v>0.22083333333333333</v>
      </c>
      <c r="E70" s="119">
        <v>0</v>
      </c>
      <c r="F70" s="120" t="s">
        <v>181</v>
      </c>
      <c r="G70" s="537"/>
    </row>
    <row r="71" spans="1:18" s="538" customFormat="1" ht="12.75" x14ac:dyDescent="0.25">
      <c r="A71" s="116">
        <f t="shared" ca="1" si="9"/>
        <v>43205</v>
      </c>
      <c r="B71" s="117" t="s">
        <v>178</v>
      </c>
      <c r="C71" s="291">
        <v>0</v>
      </c>
      <c r="D71" s="291">
        <v>0.375</v>
      </c>
      <c r="E71" s="119">
        <f>(((D71-C71)-INT(D71-C71))*24)+1.7</f>
        <v>10.7</v>
      </c>
      <c r="F71" s="120" t="s">
        <v>181</v>
      </c>
      <c r="G71" s="537"/>
    </row>
    <row r="72" spans="1:18" s="538" customFormat="1" ht="12.75" x14ac:dyDescent="0.25">
      <c r="A72" s="116">
        <f t="shared" ca="1" si="9"/>
        <v>43204</v>
      </c>
      <c r="B72" s="117" t="s">
        <v>178</v>
      </c>
      <c r="C72" s="291">
        <v>0</v>
      </c>
      <c r="D72" s="291">
        <v>0.10833333333333334</v>
      </c>
      <c r="E72" s="119">
        <f>(((D72-C72)-INT(D72-C72))*24)+2.8+3.3</f>
        <v>8.6999999999999993</v>
      </c>
      <c r="F72" s="120" t="s">
        <v>181</v>
      </c>
      <c r="G72" s="537"/>
    </row>
    <row r="73" spans="1:18" s="538" customFormat="1" ht="12.75" x14ac:dyDescent="0.25">
      <c r="A73" s="116">
        <f t="shared" ca="1" si="9"/>
        <v>43203</v>
      </c>
      <c r="B73" s="117" t="s">
        <v>178</v>
      </c>
      <c r="C73" s="291">
        <v>0.27083333333333331</v>
      </c>
      <c r="D73" s="291">
        <v>0.33333333333333331</v>
      </c>
      <c r="E73" s="119">
        <f>(((D73-C73)-INT(D73-C73))*24)+0.8+1.5+0.8</f>
        <v>4.5999999999999996</v>
      </c>
      <c r="F73" s="120" t="s">
        <v>181</v>
      </c>
      <c r="G73" s="537"/>
    </row>
    <row r="74" spans="1:18" s="538" customFormat="1" x14ac:dyDescent="0.25">
      <c r="A74" s="70"/>
      <c r="B74" s="70"/>
      <c r="C74" s="70"/>
      <c r="D74" s="70"/>
      <c r="E74" s="70"/>
      <c r="F74" s="539"/>
      <c r="G74" s="71"/>
      <c r="H74" s="70"/>
      <c r="I74" s="70"/>
      <c r="J74" s="70"/>
      <c r="K74" s="70"/>
      <c r="L74" s="70"/>
      <c r="M74" s="70"/>
      <c r="N74" s="70"/>
      <c r="O74" s="70"/>
      <c r="P74" s="70"/>
      <c r="Q74" s="70"/>
      <c r="R74" s="70"/>
    </row>
    <row r="75" spans="1:18" s="538" customFormat="1" x14ac:dyDescent="0.25">
      <c r="A75" s="70"/>
      <c r="B75" s="70"/>
      <c r="C75" s="70"/>
      <c r="D75" s="70"/>
      <c r="E75" s="70"/>
      <c r="F75" s="539"/>
      <c r="G75" s="71"/>
      <c r="H75" s="70"/>
      <c r="I75" s="70"/>
      <c r="J75" s="70"/>
      <c r="K75" s="70"/>
      <c r="L75" s="70"/>
      <c r="M75" s="70"/>
      <c r="N75" s="70"/>
      <c r="O75" s="70"/>
      <c r="P75" s="70"/>
      <c r="Q75" s="70"/>
      <c r="R75" s="70"/>
    </row>
    <row r="76" spans="1:18" s="538" customFormat="1" x14ac:dyDescent="0.25">
      <c r="A76" s="70"/>
      <c r="B76" s="70"/>
      <c r="C76" s="70"/>
      <c r="D76" s="70"/>
      <c r="E76" s="70"/>
      <c r="F76" s="539"/>
      <c r="G76" s="71"/>
      <c r="H76" s="70"/>
      <c r="I76" s="70"/>
      <c r="J76" s="70"/>
      <c r="K76" s="70"/>
      <c r="L76" s="70"/>
      <c r="M76" s="70"/>
      <c r="N76" s="70"/>
      <c r="O76" s="70"/>
      <c r="P76" s="70"/>
      <c r="Q76" s="70"/>
      <c r="R76" s="70"/>
    </row>
    <row r="77" spans="1:18" s="538" customFormat="1" x14ac:dyDescent="0.25">
      <c r="A77" s="70"/>
      <c r="B77" s="70"/>
      <c r="C77" s="70"/>
      <c r="D77" s="70"/>
      <c r="E77" s="70"/>
      <c r="F77" s="539"/>
      <c r="G77" s="71"/>
      <c r="H77" s="70"/>
      <c r="I77" s="70"/>
      <c r="J77" s="70"/>
      <c r="K77" s="70"/>
      <c r="L77" s="70"/>
      <c r="M77" s="70"/>
      <c r="N77" s="70"/>
      <c r="O77" s="70"/>
      <c r="P77" s="70"/>
      <c r="Q77" s="70"/>
      <c r="R77" s="70"/>
    </row>
    <row r="78" spans="1:18" s="538" customFormat="1" x14ac:dyDescent="0.25">
      <c r="A78" s="70"/>
      <c r="B78" s="70"/>
      <c r="C78" s="70"/>
      <c r="D78" s="70"/>
      <c r="E78" s="70"/>
      <c r="F78" s="539"/>
      <c r="G78" s="71"/>
      <c r="H78" s="70"/>
      <c r="I78" s="70"/>
      <c r="J78" s="70"/>
      <c r="K78" s="70"/>
      <c r="L78" s="70"/>
      <c r="M78" s="70"/>
      <c r="N78" s="70"/>
      <c r="O78" s="70"/>
      <c r="P78" s="70"/>
      <c r="Q78" s="70"/>
      <c r="R78" s="70"/>
    </row>
    <row r="79" spans="1:18" s="538" customFormat="1" x14ac:dyDescent="0.25">
      <c r="A79" s="70"/>
      <c r="B79" s="70"/>
      <c r="C79" s="70"/>
      <c r="D79" s="70"/>
      <c r="E79" s="70"/>
      <c r="F79" s="539"/>
      <c r="G79" s="71"/>
      <c r="H79" s="70"/>
      <c r="I79" s="70"/>
      <c r="J79" s="70"/>
      <c r="K79" s="70"/>
      <c r="L79" s="70"/>
      <c r="M79" s="70"/>
      <c r="N79" s="70"/>
      <c r="O79" s="70"/>
      <c r="P79" s="70"/>
      <c r="Q79" s="70"/>
      <c r="R79" s="70"/>
    </row>
    <row r="80" spans="1:18" s="538" customFormat="1" x14ac:dyDescent="0.25">
      <c r="A80" s="70"/>
      <c r="B80" s="70"/>
      <c r="C80" s="70"/>
      <c r="D80" s="70"/>
      <c r="E80" s="70"/>
      <c r="F80" s="539"/>
      <c r="G80" s="71"/>
      <c r="H80" s="70"/>
      <c r="I80" s="70"/>
      <c r="J80" s="70"/>
      <c r="K80" s="70"/>
      <c r="L80" s="70"/>
      <c r="M80" s="70"/>
      <c r="N80" s="70"/>
      <c r="O80" s="70"/>
      <c r="P80" s="70"/>
      <c r="Q80" s="70"/>
      <c r="R80" s="70"/>
    </row>
    <row r="81" spans="1:18" s="538" customFormat="1" x14ac:dyDescent="0.25">
      <c r="A81" s="70"/>
      <c r="B81" s="70"/>
      <c r="C81" s="70"/>
      <c r="D81" s="70"/>
      <c r="E81" s="70"/>
      <c r="F81" s="539"/>
      <c r="G81" s="71"/>
      <c r="H81" s="70"/>
      <c r="I81" s="70"/>
      <c r="J81" s="70"/>
      <c r="K81" s="70"/>
      <c r="L81" s="70"/>
      <c r="M81" s="70"/>
      <c r="N81" s="70"/>
      <c r="O81" s="70"/>
      <c r="P81" s="70"/>
      <c r="Q81" s="70"/>
      <c r="R81" s="70"/>
    </row>
    <row r="82" spans="1:18" s="538" customFormat="1" x14ac:dyDescent="0.25">
      <c r="A82" s="70"/>
      <c r="B82" s="70"/>
      <c r="C82" s="70"/>
      <c r="D82" s="70"/>
      <c r="E82" s="70"/>
      <c r="F82" s="539"/>
      <c r="G82" s="71"/>
      <c r="H82" s="70"/>
      <c r="I82" s="70"/>
      <c r="J82" s="70"/>
      <c r="K82" s="70"/>
      <c r="L82" s="70"/>
      <c r="M82" s="70"/>
      <c r="N82" s="70"/>
      <c r="O82" s="70"/>
      <c r="P82" s="70"/>
      <c r="Q82" s="70"/>
      <c r="R82" s="70"/>
    </row>
    <row r="83" spans="1:18" s="538" customFormat="1" x14ac:dyDescent="0.25">
      <c r="A83" s="70"/>
      <c r="B83" s="70"/>
      <c r="C83" s="70"/>
      <c r="D83" s="70"/>
      <c r="E83" s="70"/>
      <c r="F83" s="539"/>
      <c r="G83" s="71"/>
      <c r="H83" s="70"/>
      <c r="I83" s="70"/>
      <c r="J83" s="70"/>
      <c r="K83" s="70"/>
      <c r="L83" s="70"/>
      <c r="M83" s="70"/>
      <c r="N83" s="70"/>
      <c r="O83" s="70"/>
      <c r="P83" s="70"/>
      <c r="Q83" s="70"/>
      <c r="R83" s="70"/>
    </row>
    <row r="84" spans="1:18" s="538" customFormat="1" x14ac:dyDescent="0.25">
      <c r="A84" s="70"/>
      <c r="B84" s="70"/>
      <c r="C84" s="70"/>
      <c r="D84" s="70"/>
      <c r="E84" s="70"/>
      <c r="F84" s="539"/>
      <c r="G84" s="71"/>
      <c r="H84" s="70"/>
      <c r="I84" s="70"/>
      <c r="J84" s="70"/>
      <c r="K84" s="70"/>
      <c r="L84" s="70"/>
      <c r="M84" s="70"/>
      <c r="N84" s="70"/>
      <c r="O84" s="70"/>
      <c r="P84" s="70"/>
      <c r="Q84" s="70"/>
      <c r="R84" s="70"/>
    </row>
    <row r="85" spans="1:18" s="538" customFormat="1" x14ac:dyDescent="0.25">
      <c r="A85" s="70"/>
      <c r="B85" s="70"/>
      <c r="C85" s="70"/>
      <c r="D85" s="70"/>
      <c r="E85" s="70"/>
      <c r="F85" s="539"/>
      <c r="G85" s="71"/>
      <c r="H85" s="70"/>
      <c r="I85" s="70"/>
      <c r="J85" s="70"/>
      <c r="K85" s="70"/>
      <c r="L85" s="70"/>
      <c r="M85" s="70"/>
      <c r="N85" s="70"/>
      <c r="O85" s="70"/>
      <c r="P85" s="70"/>
      <c r="Q85" s="70"/>
      <c r="R85" s="70"/>
    </row>
    <row r="86" spans="1:18" s="538" customFormat="1" x14ac:dyDescent="0.25">
      <c r="A86" s="70"/>
      <c r="B86" s="70"/>
      <c r="C86" s="70"/>
      <c r="D86" s="70"/>
      <c r="E86" s="70"/>
      <c r="F86" s="539"/>
      <c r="G86" s="71"/>
      <c r="H86" s="70"/>
      <c r="I86" s="70"/>
      <c r="J86" s="70"/>
      <c r="K86" s="70"/>
      <c r="L86" s="70"/>
      <c r="M86" s="70"/>
      <c r="N86" s="70"/>
      <c r="O86" s="70"/>
      <c r="P86" s="70"/>
      <c r="Q86" s="70"/>
      <c r="R86" s="70"/>
    </row>
    <row r="87" spans="1:18" s="538" customFormat="1" x14ac:dyDescent="0.25">
      <c r="A87" s="70"/>
      <c r="B87" s="70"/>
      <c r="C87" s="70"/>
      <c r="D87" s="70"/>
      <c r="E87" s="70"/>
      <c r="F87" s="539"/>
      <c r="G87" s="71"/>
      <c r="H87" s="70"/>
      <c r="I87" s="70"/>
      <c r="J87" s="70"/>
      <c r="K87" s="70"/>
      <c r="L87" s="70"/>
      <c r="M87" s="70"/>
      <c r="N87" s="70"/>
      <c r="O87" s="70"/>
      <c r="P87" s="70"/>
      <c r="Q87" s="70"/>
      <c r="R87" s="70"/>
    </row>
    <row r="88" spans="1:18" s="538" customFormat="1" x14ac:dyDescent="0.25">
      <c r="A88" s="70"/>
      <c r="B88" s="70"/>
      <c r="C88" s="70"/>
      <c r="D88" s="70"/>
      <c r="E88" s="70"/>
      <c r="F88" s="539"/>
      <c r="G88" s="71"/>
      <c r="H88" s="70"/>
      <c r="I88" s="70"/>
      <c r="J88" s="70"/>
      <c r="K88" s="70"/>
      <c r="L88" s="70"/>
      <c r="M88" s="70"/>
      <c r="N88" s="70"/>
      <c r="O88" s="70"/>
      <c r="P88" s="70"/>
      <c r="Q88" s="70"/>
      <c r="R88" s="70"/>
    </row>
    <row r="89" spans="1:18" s="538" customFormat="1" x14ac:dyDescent="0.25">
      <c r="A89" s="70"/>
      <c r="B89" s="70"/>
      <c r="C89" s="70"/>
      <c r="D89" s="70"/>
      <c r="E89" s="70"/>
      <c r="F89" s="539"/>
      <c r="G89" s="71"/>
      <c r="H89" s="70"/>
      <c r="I89" s="70"/>
      <c r="J89" s="70"/>
      <c r="K89" s="70"/>
      <c r="L89" s="70"/>
      <c r="M89" s="70"/>
      <c r="N89" s="70"/>
      <c r="O89" s="70"/>
      <c r="P89" s="70"/>
      <c r="Q89" s="70"/>
      <c r="R89" s="70"/>
    </row>
    <row r="90" spans="1:18" s="538" customFormat="1" x14ac:dyDescent="0.25">
      <c r="A90" s="70"/>
      <c r="B90" s="70"/>
      <c r="C90" s="70"/>
      <c r="D90" s="70"/>
      <c r="E90" s="70"/>
      <c r="F90" s="539"/>
      <c r="G90" s="71"/>
      <c r="H90" s="70"/>
      <c r="I90" s="70"/>
      <c r="J90" s="70"/>
      <c r="K90" s="70"/>
      <c r="L90" s="70"/>
      <c r="M90" s="70"/>
      <c r="N90" s="70"/>
      <c r="O90" s="70"/>
      <c r="P90" s="70"/>
      <c r="Q90" s="70"/>
      <c r="R90" s="70"/>
    </row>
    <row r="91" spans="1:18" s="538" customFormat="1" x14ac:dyDescent="0.25">
      <c r="A91" s="70"/>
      <c r="B91" s="70"/>
      <c r="C91" s="70"/>
      <c r="D91" s="70"/>
      <c r="E91" s="70"/>
      <c r="F91" s="539"/>
      <c r="G91" s="71"/>
      <c r="H91" s="70"/>
      <c r="I91" s="70"/>
      <c r="J91" s="70"/>
      <c r="K91" s="70"/>
      <c r="L91" s="70"/>
      <c r="M91" s="70"/>
      <c r="N91" s="70"/>
      <c r="O91" s="70"/>
      <c r="P91" s="70"/>
      <c r="Q91" s="70"/>
      <c r="R91" s="70"/>
    </row>
    <row r="92" spans="1:18" s="538" customFormat="1" x14ac:dyDescent="0.25">
      <c r="A92" s="70"/>
      <c r="B92" s="70"/>
      <c r="C92" s="70"/>
      <c r="D92" s="70"/>
      <c r="E92" s="70"/>
      <c r="F92" s="539"/>
      <c r="G92" s="71"/>
      <c r="H92" s="70"/>
      <c r="I92" s="70"/>
      <c r="J92" s="70"/>
      <c r="K92" s="70"/>
      <c r="L92" s="70"/>
      <c r="M92" s="70"/>
      <c r="N92" s="70"/>
      <c r="O92" s="70"/>
      <c r="P92" s="70"/>
      <c r="Q92" s="70"/>
      <c r="R92" s="70"/>
    </row>
    <row r="93" spans="1:18" s="538" customFormat="1" x14ac:dyDescent="0.25">
      <c r="A93" s="70"/>
      <c r="B93" s="70"/>
      <c r="C93" s="70"/>
      <c r="D93" s="70"/>
      <c r="E93" s="70"/>
      <c r="F93" s="539"/>
      <c r="G93" s="71"/>
      <c r="H93" s="70"/>
      <c r="I93" s="70"/>
      <c r="J93" s="70"/>
      <c r="K93" s="70"/>
      <c r="L93" s="70"/>
      <c r="M93" s="70"/>
      <c r="N93" s="70"/>
      <c r="O93" s="70"/>
      <c r="P93" s="70"/>
      <c r="Q93" s="70"/>
      <c r="R93" s="70"/>
    </row>
    <row r="94" spans="1:18" s="538" customFormat="1" x14ac:dyDescent="0.25">
      <c r="A94" s="70"/>
      <c r="B94" s="70"/>
      <c r="C94" s="70"/>
      <c r="D94" s="70"/>
      <c r="E94" s="70"/>
      <c r="F94" s="539"/>
      <c r="G94" s="71"/>
      <c r="H94" s="70"/>
      <c r="I94" s="70"/>
      <c r="J94" s="70"/>
      <c r="K94" s="70"/>
      <c r="L94" s="70"/>
      <c r="M94" s="70"/>
      <c r="N94" s="70"/>
      <c r="O94" s="70"/>
      <c r="P94" s="70"/>
      <c r="Q94" s="70"/>
      <c r="R94" s="70"/>
    </row>
    <row r="95" spans="1:18" s="538" customFormat="1" x14ac:dyDescent="0.25">
      <c r="A95" s="70"/>
      <c r="B95" s="70"/>
      <c r="C95" s="70"/>
      <c r="D95" s="70"/>
      <c r="E95" s="70"/>
      <c r="F95" s="539"/>
      <c r="G95" s="71"/>
      <c r="H95" s="70"/>
      <c r="I95" s="70"/>
      <c r="J95" s="70"/>
      <c r="K95" s="70"/>
      <c r="L95" s="70"/>
      <c r="M95" s="70"/>
      <c r="N95" s="70"/>
      <c r="O95" s="70"/>
      <c r="P95" s="70"/>
      <c r="Q95" s="70"/>
      <c r="R95" s="70"/>
    </row>
    <row r="96" spans="1:18" s="538" customFormat="1" x14ac:dyDescent="0.25">
      <c r="A96" s="70"/>
      <c r="B96" s="70"/>
      <c r="C96" s="70"/>
      <c r="D96" s="70"/>
      <c r="E96" s="70"/>
      <c r="F96" s="539"/>
      <c r="G96" s="71"/>
      <c r="H96" s="70"/>
      <c r="I96" s="70"/>
      <c r="J96" s="70"/>
      <c r="K96" s="70"/>
      <c r="L96" s="70"/>
      <c r="M96" s="70"/>
      <c r="N96" s="70"/>
      <c r="O96" s="70"/>
      <c r="P96" s="70"/>
      <c r="Q96" s="70"/>
      <c r="R96" s="70"/>
    </row>
    <row r="97" spans="1:18" s="538" customFormat="1" x14ac:dyDescent="0.25">
      <c r="A97" s="70"/>
      <c r="B97" s="70"/>
      <c r="C97" s="70"/>
      <c r="D97" s="70"/>
      <c r="E97" s="70"/>
      <c r="F97" s="539"/>
      <c r="G97" s="71"/>
      <c r="H97" s="70"/>
      <c r="I97" s="70"/>
      <c r="J97" s="70"/>
      <c r="K97" s="70"/>
      <c r="L97" s="70"/>
      <c r="M97" s="70"/>
      <c r="N97" s="70"/>
      <c r="O97" s="70"/>
      <c r="P97" s="70"/>
      <c r="Q97" s="70"/>
      <c r="R97" s="70"/>
    </row>
    <row r="98" spans="1:18" s="538" customFormat="1" x14ac:dyDescent="0.25">
      <c r="A98" s="70"/>
      <c r="B98" s="70"/>
      <c r="C98" s="70"/>
      <c r="D98" s="70"/>
      <c r="E98" s="70"/>
      <c r="F98" s="539"/>
      <c r="G98" s="71"/>
      <c r="H98" s="70"/>
      <c r="I98" s="70"/>
      <c r="J98" s="70"/>
      <c r="K98" s="70"/>
      <c r="L98" s="70"/>
      <c r="M98" s="70"/>
      <c r="N98" s="70"/>
      <c r="O98" s="70"/>
      <c r="P98" s="70"/>
      <c r="Q98" s="70"/>
      <c r="R98" s="70"/>
    </row>
    <row r="99" spans="1:18" s="538" customFormat="1" x14ac:dyDescent="0.25">
      <c r="A99" s="70"/>
      <c r="B99" s="70"/>
      <c r="C99" s="70"/>
      <c r="D99" s="70"/>
      <c r="E99" s="70"/>
      <c r="F99" s="539"/>
      <c r="G99" s="71"/>
      <c r="H99" s="70"/>
      <c r="I99" s="70"/>
      <c r="J99" s="70"/>
      <c r="K99" s="70"/>
      <c r="L99" s="70"/>
      <c r="M99" s="70"/>
      <c r="N99" s="70"/>
      <c r="O99" s="70"/>
      <c r="P99" s="70"/>
      <c r="Q99" s="70"/>
      <c r="R99" s="70"/>
    </row>
    <row r="100" spans="1:18" s="538" customFormat="1" x14ac:dyDescent="0.25">
      <c r="A100" s="70"/>
      <c r="B100" s="70"/>
      <c r="C100" s="70"/>
      <c r="D100" s="70"/>
      <c r="E100" s="70"/>
      <c r="F100" s="539"/>
      <c r="G100" s="71"/>
      <c r="H100" s="70"/>
      <c r="I100" s="70"/>
      <c r="J100" s="70"/>
      <c r="K100" s="70"/>
      <c r="L100" s="70"/>
      <c r="M100" s="70"/>
      <c r="N100" s="70"/>
      <c r="O100" s="70"/>
      <c r="P100" s="70"/>
      <c r="Q100" s="70"/>
      <c r="R100" s="70"/>
    </row>
    <row r="101" spans="1:18" s="538" customFormat="1" x14ac:dyDescent="0.25">
      <c r="A101" s="70"/>
      <c r="B101" s="70"/>
      <c r="C101" s="70"/>
      <c r="D101" s="70"/>
      <c r="E101" s="70"/>
      <c r="F101" s="539"/>
      <c r="G101" s="71"/>
      <c r="H101" s="70"/>
      <c r="I101" s="70"/>
      <c r="J101" s="70"/>
      <c r="K101" s="70"/>
      <c r="L101" s="70"/>
      <c r="M101" s="70"/>
      <c r="N101" s="70"/>
      <c r="O101" s="70"/>
      <c r="P101" s="70"/>
      <c r="Q101" s="70"/>
      <c r="R101" s="70"/>
    </row>
    <row r="102" spans="1:18" s="538" customFormat="1" x14ac:dyDescent="0.25">
      <c r="A102" s="70"/>
      <c r="B102" s="70"/>
      <c r="C102" s="70"/>
      <c r="D102" s="70"/>
      <c r="E102" s="70"/>
      <c r="F102" s="539"/>
      <c r="G102" s="71"/>
      <c r="H102" s="70"/>
      <c r="I102" s="70"/>
      <c r="J102" s="70"/>
      <c r="K102" s="70"/>
      <c r="L102" s="70"/>
      <c r="M102" s="70"/>
      <c r="N102" s="70"/>
      <c r="O102" s="70"/>
      <c r="P102" s="70"/>
      <c r="Q102" s="70"/>
      <c r="R102" s="70"/>
    </row>
    <row r="103" spans="1:18" s="538" customFormat="1" x14ac:dyDescent="0.25">
      <c r="A103" s="70"/>
      <c r="B103" s="70"/>
      <c r="C103" s="70"/>
      <c r="D103" s="70"/>
      <c r="E103" s="70"/>
      <c r="F103" s="539"/>
      <c r="G103" s="71"/>
      <c r="H103" s="70"/>
      <c r="I103" s="70"/>
      <c r="J103" s="70"/>
      <c r="K103" s="70"/>
      <c r="L103" s="70"/>
      <c r="M103" s="70"/>
      <c r="N103" s="70"/>
      <c r="O103" s="70"/>
      <c r="P103" s="70"/>
      <c r="Q103" s="70"/>
      <c r="R103" s="70"/>
    </row>
    <row r="104" spans="1:18" s="538" customFormat="1" x14ac:dyDescent="0.25">
      <c r="A104" s="70"/>
      <c r="B104" s="70"/>
      <c r="C104" s="70"/>
      <c r="D104" s="70"/>
      <c r="E104" s="70"/>
      <c r="F104" s="539"/>
      <c r="G104" s="71"/>
      <c r="H104" s="70"/>
      <c r="I104" s="70"/>
      <c r="J104" s="70"/>
      <c r="K104" s="70"/>
      <c r="L104" s="70"/>
      <c r="M104" s="70"/>
      <c r="N104" s="70"/>
      <c r="O104" s="70"/>
      <c r="P104" s="70"/>
      <c r="Q104" s="70"/>
      <c r="R104" s="70"/>
    </row>
    <row r="105" spans="1:18" s="538" customFormat="1" x14ac:dyDescent="0.25">
      <c r="A105" s="70"/>
      <c r="B105" s="70"/>
      <c r="C105" s="70"/>
      <c r="D105" s="70"/>
      <c r="E105" s="70"/>
      <c r="F105" s="539"/>
      <c r="G105" s="71"/>
      <c r="H105" s="70"/>
      <c r="I105" s="70"/>
      <c r="J105" s="70"/>
      <c r="K105" s="70"/>
      <c r="L105" s="70"/>
      <c r="M105" s="70"/>
      <c r="N105" s="70"/>
      <c r="O105" s="70"/>
      <c r="P105" s="70"/>
      <c r="Q105" s="70"/>
      <c r="R105" s="70"/>
    </row>
    <row r="106" spans="1:18" s="538" customFormat="1" x14ac:dyDescent="0.25">
      <c r="A106" s="70"/>
      <c r="B106" s="70"/>
      <c r="C106" s="70"/>
      <c r="D106" s="70"/>
      <c r="E106" s="70"/>
      <c r="F106" s="539"/>
      <c r="G106" s="71"/>
      <c r="H106" s="70"/>
      <c r="I106" s="70"/>
      <c r="J106" s="70"/>
      <c r="K106" s="70"/>
      <c r="L106" s="70"/>
      <c r="M106" s="70"/>
      <c r="N106" s="70"/>
      <c r="O106" s="70"/>
      <c r="P106" s="70"/>
      <c r="Q106" s="70"/>
      <c r="R106" s="70"/>
    </row>
    <row r="107" spans="1:18" s="538" customFormat="1" x14ac:dyDescent="0.25">
      <c r="A107" s="70"/>
      <c r="B107" s="70"/>
      <c r="C107" s="70"/>
      <c r="D107" s="70"/>
      <c r="E107" s="70"/>
      <c r="F107" s="539"/>
      <c r="G107" s="71"/>
      <c r="H107" s="70"/>
      <c r="I107" s="70"/>
      <c r="J107" s="70"/>
      <c r="K107" s="70"/>
      <c r="L107" s="70"/>
      <c r="M107" s="70"/>
      <c r="N107" s="70"/>
      <c r="O107" s="70"/>
      <c r="P107" s="70"/>
      <c r="Q107" s="70"/>
      <c r="R107" s="70"/>
    </row>
    <row r="108" spans="1:18" s="538" customFormat="1" x14ac:dyDescent="0.25">
      <c r="A108" s="70"/>
      <c r="B108" s="70"/>
      <c r="C108" s="70"/>
      <c r="D108" s="70"/>
      <c r="E108" s="70"/>
      <c r="F108" s="539"/>
      <c r="G108" s="71"/>
      <c r="H108" s="70"/>
      <c r="I108" s="70"/>
      <c r="J108" s="70"/>
      <c r="K108" s="70"/>
      <c r="L108" s="70"/>
      <c r="M108" s="70"/>
      <c r="N108" s="70"/>
      <c r="O108" s="70"/>
      <c r="P108" s="70"/>
      <c r="Q108" s="70"/>
      <c r="R108" s="70"/>
    </row>
    <row r="109" spans="1:18" s="538" customFormat="1" x14ac:dyDescent="0.25">
      <c r="A109" s="70"/>
      <c r="B109" s="70"/>
      <c r="C109" s="70"/>
      <c r="D109" s="70"/>
      <c r="E109" s="70"/>
      <c r="F109" s="539"/>
      <c r="G109" s="71"/>
      <c r="H109" s="70"/>
      <c r="I109" s="70"/>
      <c r="J109" s="70"/>
      <c r="K109" s="70"/>
      <c r="L109" s="70"/>
      <c r="M109" s="70"/>
      <c r="N109" s="70"/>
      <c r="O109" s="70"/>
      <c r="P109" s="70"/>
      <c r="Q109" s="70"/>
      <c r="R109" s="70"/>
    </row>
    <row r="110" spans="1:18" s="538" customFormat="1" x14ac:dyDescent="0.25">
      <c r="A110" s="70"/>
      <c r="B110" s="70"/>
      <c r="C110" s="70"/>
      <c r="D110" s="70"/>
      <c r="E110" s="70"/>
      <c r="F110" s="539"/>
      <c r="G110" s="71"/>
      <c r="H110" s="70"/>
      <c r="I110" s="70"/>
      <c r="J110" s="70"/>
      <c r="K110" s="70"/>
      <c r="L110" s="70"/>
      <c r="M110" s="70"/>
      <c r="N110" s="70"/>
      <c r="O110" s="70"/>
      <c r="P110" s="70"/>
      <c r="Q110" s="70"/>
      <c r="R110" s="70"/>
    </row>
    <row r="111" spans="1:18" s="538" customFormat="1" x14ac:dyDescent="0.25">
      <c r="A111" s="70"/>
      <c r="B111" s="70"/>
      <c r="C111" s="70"/>
      <c r="D111" s="70"/>
      <c r="E111" s="70"/>
      <c r="F111" s="539"/>
      <c r="G111" s="71"/>
      <c r="H111" s="70"/>
      <c r="I111" s="70"/>
      <c r="J111" s="70"/>
      <c r="K111" s="70"/>
      <c r="L111" s="70"/>
      <c r="M111" s="70"/>
      <c r="N111" s="70"/>
      <c r="O111" s="70"/>
      <c r="P111" s="70"/>
      <c r="Q111" s="70"/>
      <c r="R111" s="70"/>
    </row>
    <row r="112" spans="1:18" s="538" customFormat="1" x14ac:dyDescent="0.25">
      <c r="A112" s="70"/>
      <c r="B112" s="70"/>
      <c r="C112" s="70"/>
      <c r="D112" s="70"/>
      <c r="E112" s="70"/>
      <c r="F112" s="539"/>
      <c r="G112" s="71"/>
      <c r="H112" s="70"/>
      <c r="I112" s="70"/>
      <c r="J112" s="70"/>
      <c r="K112" s="70"/>
      <c r="L112" s="70"/>
      <c r="M112" s="70"/>
      <c r="N112" s="70"/>
      <c r="O112" s="70"/>
      <c r="P112" s="70"/>
      <c r="Q112" s="70"/>
      <c r="R112" s="70"/>
    </row>
    <row r="113" spans="1:18" s="538" customFormat="1" x14ac:dyDescent="0.25">
      <c r="A113" s="70"/>
      <c r="B113" s="70"/>
      <c r="C113" s="70"/>
      <c r="D113" s="70"/>
      <c r="E113" s="70"/>
      <c r="F113" s="539"/>
      <c r="G113" s="71"/>
      <c r="H113" s="70"/>
      <c r="I113" s="70"/>
      <c r="J113" s="70"/>
      <c r="K113" s="70"/>
      <c r="L113" s="70"/>
      <c r="M113" s="70"/>
      <c r="N113" s="70"/>
      <c r="O113" s="70"/>
      <c r="P113" s="70"/>
      <c r="Q113" s="70"/>
      <c r="R113" s="70"/>
    </row>
    <row r="114" spans="1:18" s="538" customFormat="1" x14ac:dyDescent="0.25">
      <c r="A114" s="70"/>
      <c r="B114" s="70"/>
      <c r="C114" s="70"/>
      <c r="D114" s="70"/>
      <c r="E114" s="70"/>
      <c r="F114" s="539"/>
      <c r="G114" s="71"/>
      <c r="H114" s="70"/>
      <c r="I114" s="70"/>
      <c r="J114" s="70"/>
      <c r="K114" s="70"/>
      <c r="L114" s="70"/>
      <c r="M114" s="70"/>
      <c r="N114" s="70"/>
      <c r="O114" s="70"/>
      <c r="P114" s="70"/>
      <c r="Q114" s="70"/>
      <c r="R114" s="70"/>
    </row>
    <row r="115" spans="1:18" s="538" customFormat="1" x14ac:dyDescent="0.25">
      <c r="A115" s="70"/>
      <c r="B115" s="70"/>
      <c r="C115" s="70"/>
      <c r="D115" s="70"/>
      <c r="E115" s="70"/>
      <c r="F115" s="539"/>
      <c r="G115" s="71"/>
      <c r="H115" s="70"/>
      <c r="I115" s="70"/>
      <c r="J115" s="70"/>
      <c r="K115" s="70"/>
      <c r="L115" s="70"/>
      <c r="M115" s="70"/>
      <c r="N115" s="70"/>
      <c r="O115" s="70"/>
      <c r="P115" s="70"/>
      <c r="Q115" s="70"/>
      <c r="R115" s="70"/>
    </row>
    <row r="116" spans="1:18" s="538" customFormat="1" x14ac:dyDescent="0.25">
      <c r="A116" s="70"/>
      <c r="B116" s="70"/>
      <c r="C116" s="70"/>
      <c r="D116" s="70"/>
      <c r="E116" s="70"/>
      <c r="F116" s="539"/>
      <c r="G116" s="71"/>
      <c r="H116" s="70"/>
      <c r="I116" s="70"/>
      <c r="J116" s="70"/>
      <c r="K116" s="70"/>
      <c r="L116" s="70"/>
      <c r="M116" s="70"/>
      <c r="N116" s="70"/>
      <c r="O116" s="70"/>
      <c r="P116" s="70"/>
      <c r="Q116" s="70"/>
      <c r="R116" s="70"/>
    </row>
    <row r="117" spans="1:18" s="538" customFormat="1" x14ac:dyDescent="0.25">
      <c r="A117" s="70"/>
      <c r="B117" s="70"/>
      <c r="C117" s="70"/>
      <c r="D117" s="70"/>
      <c r="E117" s="70"/>
      <c r="F117" s="539"/>
      <c r="G117" s="71"/>
      <c r="H117" s="70"/>
      <c r="I117" s="70"/>
      <c r="J117" s="70"/>
      <c r="K117" s="70"/>
      <c r="L117" s="70"/>
      <c r="M117" s="70"/>
      <c r="N117" s="70"/>
      <c r="O117" s="70"/>
      <c r="P117" s="70"/>
      <c r="Q117" s="70"/>
      <c r="R117" s="70"/>
    </row>
    <row r="118" spans="1:18" s="538" customFormat="1" x14ac:dyDescent="0.25">
      <c r="A118" s="70"/>
      <c r="B118" s="70"/>
      <c r="C118" s="70"/>
      <c r="D118" s="70"/>
      <c r="E118" s="70"/>
      <c r="F118" s="539"/>
      <c r="G118" s="71"/>
      <c r="H118" s="70"/>
      <c r="I118" s="70"/>
      <c r="J118" s="70"/>
      <c r="K118" s="70"/>
      <c r="L118" s="70"/>
      <c r="M118" s="70"/>
      <c r="N118" s="70"/>
      <c r="O118" s="70"/>
      <c r="P118" s="70"/>
      <c r="Q118" s="70"/>
      <c r="R118" s="70"/>
    </row>
    <row r="119" spans="1:18" s="538" customFormat="1" x14ac:dyDescent="0.25">
      <c r="A119" s="70"/>
      <c r="B119" s="70"/>
      <c r="C119" s="70"/>
      <c r="D119" s="70"/>
      <c r="E119" s="70"/>
      <c r="F119" s="539"/>
      <c r="G119" s="71"/>
      <c r="H119" s="70"/>
      <c r="I119" s="70"/>
      <c r="J119" s="70"/>
      <c r="K119" s="70"/>
      <c r="L119" s="70"/>
      <c r="M119" s="70"/>
      <c r="N119" s="70"/>
      <c r="O119" s="70"/>
      <c r="P119" s="70"/>
      <c r="Q119" s="70"/>
      <c r="R119" s="70"/>
    </row>
    <row r="120" spans="1:18" s="538" customFormat="1" x14ac:dyDescent="0.25">
      <c r="A120" s="70"/>
      <c r="B120" s="70"/>
      <c r="C120" s="70"/>
      <c r="D120" s="70"/>
      <c r="E120" s="70"/>
      <c r="F120" s="539"/>
      <c r="G120" s="71"/>
      <c r="H120" s="70"/>
      <c r="I120" s="70"/>
      <c r="J120" s="70"/>
      <c r="K120" s="70"/>
      <c r="L120" s="70"/>
      <c r="M120" s="70"/>
      <c r="N120" s="70"/>
      <c r="O120" s="70"/>
      <c r="P120" s="70"/>
      <c r="Q120" s="70"/>
      <c r="R120" s="70"/>
    </row>
    <row r="121" spans="1:18" s="538" customFormat="1" x14ac:dyDescent="0.25">
      <c r="A121" s="70"/>
      <c r="B121" s="70"/>
      <c r="C121" s="70"/>
      <c r="D121" s="70"/>
      <c r="E121" s="70"/>
      <c r="F121" s="539"/>
      <c r="G121" s="71"/>
      <c r="H121" s="70"/>
      <c r="I121" s="70"/>
      <c r="J121" s="70"/>
      <c r="K121" s="70"/>
      <c r="L121" s="70"/>
      <c r="M121" s="70"/>
      <c r="N121" s="70"/>
      <c r="O121" s="70"/>
      <c r="P121" s="70"/>
      <c r="Q121" s="70"/>
      <c r="R121" s="70"/>
    </row>
    <row r="122" spans="1:18" s="538" customFormat="1" x14ac:dyDescent="0.25">
      <c r="A122" s="70"/>
      <c r="B122" s="70"/>
      <c r="C122" s="70"/>
      <c r="D122" s="70"/>
      <c r="E122" s="70"/>
      <c r="F122" s="539"/>
      <c r="G122" s="71"/>
      <c r="H122" s="70"/>
      <c r="I122" s="70"/>
      <c r="J122" s="70"/>
      <c r="K122" s="70"/>
      <c r="L122" s="70"/>
      <c r="M122" s="70"/>
      <c r="N122" s="70"/>
      <c r="O122" s="70"/>
      <c r="P122" s="70"/>
      <c r="Q122" s="70"/>
      <c r="R122" s="70"/>
    </row>
    <row r="123" spans="1:18" s="538" customFormat="1" x14ac:dyDescent="0.25">
      <c r="A123" s="70"/>
      <c r="B123" s="70"/>
      <c r="C123" s="70"/>
      <c r="D123" s="70"/>
      <c r="E123" s="70"/>
      <c r="F123" s="539"/>
      <c r="G123" s="71"/>
      <c r="H123" s="70"/>
      <c r="I123" s="70"/>
      <c r="J123" s="70"/>
      <c r="K123" s="70"/>
      <c r="L123" s="70"/>
      <c r="M123" s="70"/>
      <c r="N123" s="70"/>
      <c r="O123" s="70"/>
      <c r="P123" s="70"/>
      <c r="Q123" s="70"/>
      <c r="R123" s="70"/>
    </row>
    <row r="124" spans="1:18" s="538" customFormat="1" x14ac:dyDescent="0.25">
      <c r="A124" s="70"/>
      <c r="B124" s="70"/>
      <c r="C124" s="70"/>
      <c r="D124" s="70"/>
      <c r="E124" s="70"/>
      <c r="F124" s="539"/>
      <c r="G124" s="71"/>
      <c r="H124" s="70"/>
      <c r="I124" s="70"/>
      <c r="J124" s="70"/>
      <c r="K124" s="70"/>
      <c r="L124" s="70"/>
      <c r="M124" s="70"/>
      <c r="N124" s="70"/>
      <c r="O124" s="70"/>
      <c r="P124" s="70"/>
      <c r="Q124" s="70"/>
      <c r="R124" s="70"/>
    </row>
    <row r="125" spans="1:18" s="538" customFormat="1" x14ac:dyDescent="0.25">
      <c r="A125" s="70"/>
      <c r="B125" s="70"/>
      <c r="C125" s="70"/>
      <c r="D125" s="70"/>
      <c r="E125" s="70"/>
      <c r="F125" s="539"/>
      <c r="G125" s="71"/>
      <c r="H125" s="70"/>
      <c r="I125" s="70"/>
      <c r="J125" s="70"/>
      <c r="K125" s="70"/>
      <c r="L125" s="70"/>
      <c r="M125" s="70"/>
      <c r="N125" s="70"/>
      <c r="O125" s="70"/>
      <c r="P125" s="70"/>
      <c r="Q125" s="70"/>
      <c r="R125" s="70"/>
    </row>
    <row r="126" spans="1:18" s="538" customFormat="1" x14ac:dyDescent="0.25">
      <c r="A126" s="70"/>
      <c r="B126" s="70"/>
      <c r="C126" s="70"/>
      <c r="D126" s="70"/>
      <c r="E126" s="70"/>
      <c r="F126" s="539"/>
      <c r="G126" s="71"/>
      <c r="H126" s="70"/>
      <c r="I126" s="70"/>
      <c r="J126" s="70"/>
      <c r="K126" s="70"/>
      <c r="L126" s="70"/>
      <c r="M126" s="70"/>
      <c r="N126" s="70"/>
      <c r="O126" s="70"/>
      <c r="P126" s="70"/>
      <c r="Q126" s="70"/>
      <c r="R126" s="70"/>
    </row>
    <row r="127" spans="1:18" s="538" customFormat="1" x14ac:dyDescent="0.25">
      <c r="A127" s="70"/>
      <c r="B127" s="70"/>
      <c r="C127" s="70"/>
      <c r="D127" s="70"/>
      <c r="E127" s="70"/>
      <c r="F127" s="539"/>
      <c r="G127" s="71"/>
      <c r="H127" s="70"/>
      <c r="I127" s="70"/>
      <c r="J127" s="70"/>
      <c r="K127" s="70"/>
      <c r="L127" s="70"/>
      <c r="M127" s="70"/>
      <c r="N127" s="70"/>
      <c r="O127" s="70"/>
      <c r="P127" s="70"/>
      <c r="Q127" s="70"/>
      <c r="R127" s="70"/>
    </row>
    <row r="128" spans="1:18" s="538" customFormat="1" x14ac:dyDescent="0.25">
      <c r="A128" s="70"/>
      <c r="B128" s="70"/>
      <c r="C128" s="70"/>
      <c r="D128" s="70"/>
      <c r="E128" s="70"/>
      <c r="F128" s="539"/>
      <c r="G128" s="71"/>
      <c r="H128" s="70"/>
      <c r="I128" s="70"/>
      <c r="J128" s="70"/>
      <c r="K128" s="70"/>
      <c r="L128" s="70"/>
      <c r="M128" s="70"/>
      <c r="N128" s="70"/>
      <c r="O128" s="70"/>
      <c r="P128" s="70"/>
      <c r="Q128" s="70"/>
      <c r="R128" s="70"/>
    </row>
    <row r="129" spans="1:18" s="538" customFormat="1" x14ac:dyDescent="0.25">
      <c r="A129" s="70"/>
      <c r="B129" s="70"/>
      <c r="C129" s="70"/>
      <c r="D129" s="70"/>
      <c r="E129" s="70"/>
      <c r="F129" s="539"/>
      <c r="G129" s="71"/>
      <c r="H129" s="70"/>
      <c r="I129" s="70"/>
      <c r="J129" s="70"/>
      <c r="K129" s="70"/>
      <c r="L129" s="70"/>
      <c r="M129" s="70"/>
      <c r="N129" s="70"/>
      <c r="O129" s="70"/>
      <c r="P129" s="70"/>
      <c r="Q129" s="70"/>
      <c r="R129" s="70"/>
    </row>
    <row r="130" spans="1:18" s="538" customFormat="1" x14ac:dyDescent="0.25">
      <c r="A130" s="70"/>
      <c r="B130" s="70"/>
      <c r="C130" s="70"/>
      <c r="D130" s="70"/>
      <c r="E130" s="70"/>
      <c r="F130" s="539"/>
      <c r="G130" s="71"/>
      <c r="H130" s="70"/>
      <c r="I130" s="70"/>
      <c r="J130" s="70"/>
      <c r="K130" s="70"/>
      <c r="L130" s="70"/>
      <c r="M130" s="70"/>
      <c r="N130" s="70"/>
      <c r="O130" s="70"/>
      <c r="P130" s="70"/>
      <c r="Q130" s="70"/>
      <c r="R130" s="70"/>
    </row>
    <row r="131" spans="1:18" s="538" customFormat="1" x14ac:dyDescent="0.25">
      <c r="A131" s="70"/>
      <c r="B131" s="70"/>
      <c r="C131" s="70"/>
      <c r="D131" s="70"/>
      <c r="E131" s="70"/>
      <c r="F131" s="539"/>
      <c r="G131" s="71"/>
      <c r="H131" s="70"/>
      <c r="I131" s="70"/>
      <c r="J131" s="70"/>
      <c r="K131" s="70"/>
      <c r="L131" s="70"/>
      <c r="M131" s="70"/>
      <c r="N131" s="70"/>
      <c r="O131" s="70"/>
      <c r="P131" s="70"/>
      <c r="Q131" s="70"/>
      <c r="R131" s="70"/>
    </row>
    <row r="132" spans="1:18" s="538" customFormat="1" x14ac:dyDescent="0.25">
      <c r="A132" s="70"/>
      <c r="B132" s="70"/>
      <c r="C132" s="70"/>
      <c r="D132" s="70"/>
      <c r="E132" s="70"/>
      <c r="F132" s="539"/>
      <c r="G132" s="71"/>
      <c r="H132" s="70"/>
      <c r="I132" s="70"/>
      <c r="J132" s="70"/>
      <c r="K132" s="70"/>
      <c r="L132" s="70"/>
      <c r="M132" s="70"/>
      <c r="N132" s="70"/>
      <c r="O132" s="70"/>
      <c r="P132" s="70"/>
      <c r="Q132" s="70"/>
      <c r="R132" s="70"/>
    </row>
    <row r="133" spans="1:18" s="538" customFormat="1" x14ac:dyDescent="0.25">
      <c r="A133" s="70"/>
      <c r="B133" s="70"/>
      <c r="C133" s="70"/>
      <c r="D133" s="70"/>
      <c r="E133" s="70"/>
      <c r="F133" s="539"/>
      <c r="G133" s="71"/>
      <c r="H133" s="70"/>
      <c r="I133" s="70"/>
      <c r="J133" s="70"/>
      <c r="K133" s="70"/>
      <c r="L133" s="70"/>
      <c r="M133" s="70"/>
      <c r="N133" s="70"/>
      <c r="O133" s="70"/>
      <c r="P133" s="70"/>
      <c r="Q133" s="70"/>
      <c r="R133" s="70"/>
    </row>
    <row r="134" spans="1:18" s="538" customFormat="1" x14ac:dyDescent="0.25">
      <c r="A134" s="70"/>
      <c r="B134" s="70"/>
      <c r="C134" s="70"/>
      <c r="D134" s="70"/>
      <c r="E134" s="70"/>
      <c r="F134" s="539"/>
      <c r="G134" s="71"/>
      <c r="H134" s="70"/>
      <c r="I134" s="70"/>
      <c r="J134" s="70"/>
      <c r="K134" s="70"/>
      <c r="L134" s="70"/>
      <c r="M134" s="70"/>
      <c r="N134" s="70"/>
      <c r="O134" s="70"/>
      <c r="P134" s="70"/>
      <c r="Q134" s="70"/>
      <c r="R134" s="70"/>
    </row>
    <row r="135" spans="1:18" s="538" customFormat="1" x14ac:dyDescent="0.25">
      <c r="A135" s="70"/>
      <c r="B135" s="70"/>
      <c r="C135" s="70"/>
      <c r="D135" s="70"/>
      <c r="E135" s="70"/>
      <c r="F135" s="539"/>
      <c r="G135" s="71"/>
      <c r="H135" s="70"/>
      <c r="I135" s="70"/>
      <c r="J135" s="70"/>
      <c r="K135" s="70"/>
      <c r="L135" s="70"/>
      <c r="M135" s="70"/>
      <c r="N135" s="70"/>
      <c r="O135" s="70"/>
      <c r="P135" s="70"/>
      <c r="Q135" s="70"/>
      <c r="R135" s="70"/>
    </row>
    <row r="136" spans="1:18" s="538" customFormat="1" x14ac:dyDescent="0.25">
      <c r="A136" s="70"/>
      <c r="B136" s="70"/>
      <c r="C136" s="70"/>
      <c r="D136" s="70"/>
      <c r="E136" s="70"/>
      <c r="F136" s="539"/>
      <c r="G136" s="71"/>
      <c r="H136" s="70"/>
      <c r="I136" s="70"/>
      <c r="J136" s="70"/>
      <c r="K136" s="70"/>
      <c r="L136" s="70"/>
      <c r="M136" s="70"/>
      <c r="N136" s="70"/>
      <c r="O136" s="70"/>
      <c r="P136" s="70"/>
      <c r="Q136" s="70"/>
      <c r="R136" s="70"/>
    </row>
    <row r="137" spans="1:18" s="538" customFormat="1" x14ac:dyDescent="0.25">
      <c r="A137" s="70"/>
      <c r="B137" s="70"/>
      <c r="C137" s="70"/>
      <c r="D137" s="70"/>
      <c r="E137" s="70"/>
      <c r="F137" s="539"/>
      <c r="G137" s="71"/>
      <c r="H137" s="70"/>
      <c r="I137" s="70"/>
      <c r="J137" s="70"/>
      <c r="K137" s="70"/>
      <c r="L137" s="70"/>
      <c r="M137" s="70"/>
      <c r="N137" s="70"/>
      <c r="O137" s="70"/>
      <c r="P137" s="70"/>
      <c r="Q137" s="70"/>
      <c r="R137" s="70"/>
    </row>
    <row r="138" spans="1:18" s="538" customFormat="1" x14ac:dyDescent="0.25">
      <c r="A138" s="70"/>
      <c r="B138" s="70"/>
      <c r="C138" s="70"/>
      <c r="D138" s="70"/>
      <c r="E138" s="70"/>
      <c r="F138" s="539"/>
      <c r="G138" s="71"/>
      <c r="H138" s="70"/>
      <c r="I138" s="70"/>
      <c r="J138" s="70"/>
      <c r="K138" s="70"/>
      <c r="L138" s="70"/>
      <c r="M138" s="70"/>
      <c r="N138" s="70"/>
      <c r="O138" s="70"/>
      <c r="P138" s="70"/>
      <c r="Q138" s="70"/>
      <c r="R138" s="70"/>
    </row>
    <row r="139" spans="1:18" s="538" customFormat="1" x14ac:dyDescent="0.25">
      <c r="A139" s="70"/>
      <c r="B139" s="70"/>
      <c r="C139" s="70"/>
      <c r="D139" s="70"/>
      <c r="E139" s="70"/>
      <c r="F139" s="539"/>
      <c r="G139" s="71"/>
      <c r="H139" s="70"/>
      <c r="I139" s="70"/>
      <c r="J139" s="70"/>
      <c r="K139" s="70"/>
      <c r="L139" s="70"/>
      <c r="M139" s="70"/>
      <c r="N139" s="70"/>
      <c r="O139" s="70"/>
      <c r="P139" s="70"/>
      <c r="Q139" s="70"/>
      <c r="R139" s="70"/>
    </row>
    <row r="140" spans="1:18" s="538" customFormat="1" x14ac:dyDescent="0.25">
      <c r="A140" s="70"/>
      <c r="B140" s="70"/>
      <c r="C140" s="70"/>
      <c r="D140" s="70"/>
      <c r="E140" s="70"/>
      <c r="F140" s="539"/>
      <c r="G140" s="71"/>
      <c r="H140" s="70"/>
      <c r="I140" s="70"/>
      <c r="J140" s="70"/>
      <c r="K140" s="70"/>
      <c r="L140" s="70"/>
      <c r="M140" s="70"/>
      <c r="N140" s="70"/>
      <c r="O140" s="70"/>
      <c r="P140" s="70"/>
      <c r="Q140" s="70"/>
      <c r="R140" s="70"/>
    </row>
    <row r="141" spans="1:18" s="538" customFormat="1" x14ac:dyDescent="0.25">
      <c r="A141" s="70"/>
      <c r="B141" s="70"/>
      <c r="C141" s="70"/>
      <c r="D141" s="70"/>
      <c r="E141" s="70"/>
      <c r="F141" s="539"/>
      <c r="G141" s="71"/>
      <c r="H141" s="70"/>
      <c r="I141" s="70"/>
      <c r="J141" s="70"/>
      <c r="K141" s="70"/>
      <c r="L141" s="70"/>
      <c r="M141" s="70"/>
      <c r="N141" s="70"/>
      <c r="O141" s="70"/>
      <c r="P141" s="70"/>
      <c r="Q141" s="70"/>
      <c r="R141" s="70"/>
    </row>
    <row r="142" spans="1:18" s="538" customFormat="1" x14ac:dyDescent="0.25">
      <c r="A142" s="70"/>
      <c r="B142" s="70"/>
      <c r="C142" s="70"/>
      <c r="D142" s="70"/>
      <c r="E142" s="70"/>
      <c r="F142" s="539"/>
      <c r="G142" s="71"/>
      <c r="H142" s="70"/>
      <c r="I142" s="70"/>
      <c r="J142" s="70"/>
      <c r="K142" s="70"/>
      <c r="L142" s="70"/>
      <c r="M142" s="70"/>
      <c r="N142" s="70"/>
      <c r="O142" s="70"/>
      <c r="P142" s="70"/>
      <c r="Q142" s="70"/>
      <c r="R142" s="70"/>
    </row>
    <row r="143" spans="1:18" s="538" customFormat="1" x14ac:dyDescent="0.25">
      <c r="A143" s="70"/>
      <c r="B143" s="70"/>
      <c r="C143" s="70"/>
      <c r="D143" s="70"/>
      <c r="E143" s="70"/>
      <c r="F143" s="539"/>
      <c r="G143" s="71"/>
      <c r="H143" s="70"/>
      <c r="I143" s="70"/>
      <c r="J143" s="70"/>
      <c r="K143" s="70"/>
      <c r="L143" s="70"/>
      <c r="M143" s="70"/>
      <c r="N143" s="70"/>
      <c r="O143" s="70"/>
      <c r="P143" s="70"/>
      <c r="Q143" s="70"/>
      <c r="R143" s="70"/>
    </row>
    <row r="144" spans="1:18" s="538" customFormat="1" x14ac:dyDescent="0.25">
      <c r="A144" s="70"/>
      <c r="B144" s="70"/>
      <c r="C144" s="70"/>
      <c r="D144" s="70"/>
      <c r="E144" s="70"/>
      <c r="F144" s="539"/>
      <c r="G144" s="71"/>
      <c r="H144" s="70"/>
      <c r="I144" s="70"/>
      <c r="J144" s="70"/>
      <c r="K144" s="70"/>
      <c r="L144" s="70"/>
      <c r="M144" s="70"/>
      <c r="N144" s="70"/>
      <c r="O144" s="70"/>
      <c r="P144" s="70"/>
      <c r="Q144" s="70"/>
      <c r="R144" s="70"/>
    </row>
    <row r="145" spans="1:18" s="538" customFormat="1" x14ac:dyDescent="0.25">
      <c r="A145" s="70"/>
      <c r="B145" s="70"/>
      <c r="C145" s="70"/>
      <c r="D145" s="70"/>
      <c r="E145" s="70"/>
      <c r="F145" s="539"/>
      <c r="G145" s="71"/>
      <c r="H145" s="70"/>
      <c r="I145" s="70"/>
      <c r="J145" s="70"/>
      <c r="K145" s="70"/>
      <c r="L145" s="70"/>
      <c r="M145" s="70"/>
      <c r="N145" s="70"/>
      <c r="O145" s="70"/>
      <c r="P145" s="70"/>
      <c r="Q145" s="70"/>
      <c r="R145" s="70"/>
    </row>
    <row r="146" spans="1:18" s="538" customFormat="1" x14ac:dyDescent="0.25">
      <c r="A146" s="70"/>
      <c r="B146" s="70"/>
      <c r="C146" s="70"/>
      <c r="D146" s="70"/>
      <c r="E146" s="70"/>
      <c r="F146" s="539"/>
      <c r="G146" s="71"/>
      <c r="H146" s="70"/>
      <c r="I146" s="70"/>
      <c r="J146" s="70"/>
      <c r="K146" s="70"/>
      <c r="L146" s="70"/>
      <c r="M146" s="70"/>
      <c r="N146" s="70"/>
      <c r="O146" s="70"/>
      <c r="P146" s="70"/>
      <c r="Q146" s="70"/>
      <c r="R146" s="70"/>
    </row>
    <row r="147" spans="1:18" s="538" customFormat="1" x14ac:dyDescent="0.25">
      <c r="A147" s="70"/>
      <c r="B147" s="70"/>
      <c r="C147" s="70"/>
      <c r="D147" s="70"/>
      <c r="E147" s="70"/>
      <c r="F147" s="539"/>
      <c r="G147" s="71"/>
      <c r="H147" s="70"/>
      <c r="I147" s="70"/>
      <c r="J147" s="70"/>
      <c r="K147" s="70"/>
      <c r="L147" s="70"/>
      <c r="M147" s="70"/>
      <c r="N147" s="70"/>
      <c r="O147" s="70"/>
      <c r="P147" s="70"/>
      <c r="Q147" s="70"/>
      <c r="R147" s="70"/>
    </row>
    <row r="148" spans="1:18" s="538" customFormat="1" x14ac:dyDescent="0.25">
      <c r="A148" s="70"/>
      <c r="B148" s="70"/>
      <c r="C148" s="70"/>
      <c r="D148" s="70"/>
      <c r="E148" s="70"/>
      <c r="F148" s="539"/>
      <c r="G148" s="71"/>
      <c r="H148" s="70"/>
      <c r="I148" s="70"/>
      <c r="J148" s="70"/>
      <c r="K148" s="70"/>
      <c r="L148" s="70"/>
      <c r="M148" s="70"/>
      <c r="N148" s="70"/>
      <c r="O148" s="70"/>
      <c r="P148" s="70"/>
      <c r="Q148" s="70"/>
      <c r="R148" s="70"/>
    </row>
    <row r="149" spans="1:18" s="538" customFormat="1" x14ac:dyDescent="0.25">
      <c r="A149" s="70"/>
      <c r="B149" s="70"/>
      <c r="C149" s="70"/>
      <c r="D149" s="70"/>
      <c r="E149" s="70"/>
      <c r="F149" s="539"/>
      <c r="G149" s="71"/>
      <c r="H149" s="70"/>
      <c r="I149" s="70"/>
      <c r="J149" s="70"/>
      <c r="K149" s="70"/>
      <c r="L149" s="70"/>
      <c r="M149" s="70"/>
      <c r="N149" s="70"/>
      <c r="O149" s="70"/>
      <c r="P149" s="70"/>
      <c r="Q149" s="70"/>
      <c r="R149" s="70"/>
    </row>
    <row r="150" spans="1:18" s="538" customFormat="1" x14ac:dyDescent="0.25">
      <c r="A150" s="70"/>
      <c r="B150" s="70"/>
      <c r="C150" s="70"/>
      <c r="D150" s="70"/>
      <c r="E150" s="70"/>
      <c r="F150" s="539"/>
      <c r="G150" s="71"/>
      <c r="H150" s="70"/>
      <c r="I150" s="70"/>
      <c r="J150" s="70"/>
      <c r="K150" s="70"/>
      <c r="L150" s="70"/>
      <c r="M150" s="70"/>
      <c r="N150" s="70"/>
      <c r="O150" s="70"/>
      <c r="P150" s="70"/>
      <c r="Q150" s="70"/>
      <c r="R150" s="70"/>
    </row>
    <row r="151" spans="1:18" s="538" customFormat="1" x14ac:dyDescent="0.25">
      <c r="A151" s="70"/>
      <c r="B151" s="70"/>
      <c r="C151" s="70"/>
      <c r="D151" s="70"/>
      <c r="E151" s="70"/>
      <c r="F151" s="539"/>
      <c r="G151" s="71"/>
      <c r="H151" s="70"/>
      <c r="I151" s="70"/>
      <c r="J151" s="70"/>
      <c r="K151" s="70"/>
      <c r="L151" s="70"/>
      <c r="M151" s="70"/>
      <c r="N151" s="70"/>
      <c r="O151" s="70"/>
      <c r="P151" s="70"/>
      <c r="Q151" s="70"/>
      <c r="R151" s="70"/>
    </row>
    <row r="152" spans="1:18" s="538" customFormat="1" x14ac:dyDescent="0.25">
      <c r="A152" s="70"/>
      <c r="B152" s="70"/>
      <c r="C152" s="70"/>
      <c r="D152" s="70"/>
      <c r="E152" s="70"/>
      <c r="F152" s="539"/>
      <c r="G152" s="71"/>
      <c r="H152" s="70"/>
      <c r="I152" s="70"/>
      <c r="J152" s="70"/>
      <c r="K152" s="70"/>
      <c r="L152" s="70"/>
      <c r="M152" s="70"/>
      <c r="N152" s="70"/>
      <c r="O152" s="70"/>
      <c r="P152" s="70"/>
      <c r="Q152" s="70"/>
      <c r="R152" s="70"/>
    </row>
    <row r="153" spans="1:18" s="538" customFormat="1" x14ac:dyDescent="0.25">
      <c r="A153" s="70"/>
      <c r="B153" s="70"/>
      <c r="C153" s="70"/>
      <c r="D153" s="70"/>
      <c r="E153" s="70"/>
      <c r="F153" s="539"/>
      <c r="G153" s="71"/>
      <c r="H153" s="70"/>
      <c r="I153" s="70"/>
      <c r="J153" s="70"/>
      <c r="K153" s="70"/>
      <c r="L153" s="70"/>
      <c r="M153" s="70"/>
      <c r="N153" s="70"/>
      <c r="O153" s="70"/>
      <c r="P153" s="70"/>
      <c r="Q153" s="70"/>
      <c r="R153" s="70"/>
    </row>
    <row r="154" spans="1:18" s="538" customFormat="1" x14ac:dyDescent="0.25">
      <c r="A154" s="70"/>
      <c r="B154" s="70"/>
      <c r="C154" s="70"/>
      <c r="D154" s="70"/>
      <c r="E154" s="70"/>
      <c r="F154" s="539"/>
      <c r="G154" s="71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</row>
    <row r="155" spans="1:18" s="538" customFormat="1" x14ac:dyDescent="0.25">
      <c r="A155" s="70"/>
      <c r="B155" s="70"/>
      <c r="C155" s="70"/>
      <c r="D155" s="70"/>
      <c r="E155" s="70"/>
      <c r="F155" s="539"/>
      <c r="G155" s="71"/>
      <c r="H155" s="70"/>
      <c r="I155" s="70"/>
      <c r="J155" s="70"/>
      <c r="K155" s="70"/>
      <c r="L155" s="70"/>
      <c r="M155" s="70"/>
      <c r="N155" s="70"/>
      <c r="O155" s="70"/>
      <c r="P155" s="70"/>
      <c r="Q155" s="70"/>
      <c r="R155" s="70"/>
    </row>
    <row r="156" spans="1:18" s="538" customFormat="1" x14ac:dyDescent="0.25">
      <c r="A156" s="70"/>
      <c r="B156" s="70"/>
      <c r="C156" s="70"/>
      <c r="D156" s="70"/>
      <c r="E156" s="70"/>
      <c r="F156" s="539"/>
      <c r="G156" s="71"/>
      <c r="H156" s="70"/>
      <c r="I156" s="70"/>
      <c r="J156" s="70"/>
      <c r="K156" s="70"/>
      <c r="L156" s="70"/>
      <c r="M156" s="70"/>
      <c r="N156" s="70"/>
      <c r="O156" s="70"/>
      <c r="P156" s="70"/>
      <c r="Q156" s="70"/>
      <c r="R156" s="70"/>
    </row>
    <row r="157" spans="1:18" s="538" customFormat="1" x14ac:dyDescent="0.25">
      <c r="A157" s="70"/>
      <c r="B157" s="70"/>
      <c r="C157" s="70"/>
      <c r="D157" s="70"/>
      <c r="E157" s="70"/>
      <c r="F157" s="539"/>
      <c r="G157" s="71"/>
      <c r="H157" s="70"/>
      <c r="I157" s="70"/>
      <c r="J157" s="70"/>
      <c r="K157" s="70"/>
      <c r="L157" s="70"/>
      <c r="M157" s="70"/>
      <c r="N157" s="70"/>
      <c r="O157" s="70"/>
      <c r="P157" s="70"/>
      <c r="Q157" s="70"/>
      <c r="R157" s="70"/>
    </row>
    <row r="158" spans="1:18" s="538" customFormat="1" x14ac:dyDescent="0.25">
      <c r="A158" s="70"/>
      <c r="B158" s="70"/>
      <c r="C158" s="70"/>
      <c r="D158" s="70"/>
      <c r="E158" s="70"/>
      <c r="F158" s="539"/>
      <c r="G158" s="71"/>
      <c r="H158" s="70"/>
      <c r="I158" s="70"/>
      <c r="J158" s="70"/>
      <c r="K158" s="70"/>
      <c r="L158" s="70"/>
      <c r="M158" s="70"/>
      <c r="N158" s="70"/>
      <c r="O158" s="70"/>
      <c r="P158" s="70"/>
      <c r="Q158" s="70"/>
      <c r="R158" s="70"/>
    </row>
    <row r="159" spans="1:18" s="538" customFormat="1" x14ac:dyDescent="0.25">
      <c r="A159" s="70"/>
      <c r="B159" s="70"/>
      <c r="C159" s="70"/>
      <c r="D159" s="70"/>
      <c r="E159" s="70"/>
      <c r="F159" s="539"/>
      <c r="G159" s="71"/>
      <c r="H159" s="70"/>
      <c r="I159" s="70"/>
      <c r="J159" s="70"/>
      <c r="K159" s="70"/>
      <c r="L159" s="70"/>
      <c r="M159" s="70"/>
      <c r="N159" s="70"/>
      <c r="O159" s="70"/>
      <c r="P159" s="70"/>
      <c r="Q159" s="70"/>
      <c r="R159" s="70"/>
    </row>
    <row r="160" spans="1:18" s="538" customFormat="1" x14ac:dyDescent="0.25">
      <c r="A160" s="70"/>
      <c r="B160" s="70"/>
      <c r="C160" s="70"/>
      <c r="D160" s="70"/>
      <c r="E160" s="70"/>
      <c r="F160" s="539"/>
      <c r="G160" s="71"/>
      <c r="H160" s="70"/>
      <c r="I160" s="70"/>
      <c r="J160" s="70"/>
      <c r="K160" s="70"/>
      <c r="L160" s="70"/>
      <c r="M160" s="70"/>
      <c r="N160" s="70"/>
      <c r="O160" s="70"/>
      <c r="P160" s="70"/>
      <c r="Q160" s="70"/>
      <c r="R160" s="70"/>
    </row>
    <row r="161" spans="1:18" s="538" customFormat="1" x14ac:dyDescent="0.25">
      <c r="A161" s="70"/>
      <c r="B161" s="70"/>
      <c r="C161" s="70"/>
      <c r="D161" s="70"/>
      <c r="E161" s="70"/>
      <c r="F161" s="539"/>
      <c r="G161" s="71"/>
      <c r="H161" s="70"/>
      <c r="I161" s="70"/>
      <c r="J161" s="70"/>
      <c r="K161" s="70"/>
      <c r="L161" s="70"/>
      <c r="M161" s="70"/>
      <c r="N161" s="70"/>
      <c r="O161" s="70"/>
      <c r="P161" s="70"/>
      <c r="Q161" s="70"/>
      <c r="R161" s="70"/>
    </row>
    <row r="162" spans="1:18" s="538" customFormat="1" x14ac:dyDescent="0.25">
      <c r="A162" s="70"/>
      <c r="B162" s="70"/>
      <c r="C162" s="70"/>
      <c r="D162" s="70"/>
      <c r="E162" s="70"/>
      <c r="F162" s="539"/>
      <c r="G162" s="71"/>
      <c r="H162" s="70"/>
      <c r="I162" s="70"/>
      <c r="J162" s="70"/>
      <c r="K162" s="70"/>
      <c r="L162" s="70"/>
      <c r="M162" s="70"/>
      <c r="N162" s="70"/>
      <c r="O162" s="70"/>
      <c r="P162" s="70"/>
      <c r="Q162" s="70"/>
      <c r="R162" s="70"/>
    </row>
    <row r="163" spans="1:18" s="538" customFormat="1" x14ac:dyDescent="0.25">
      <c r="A163" s="70"/>
      <c r="B163" s="70"/>
      <c r="C163" s="70"/>
      <c r="D163" s="70"/>
      <c r="E163" s="70"/>
      <c r="F163" s="539"/>
      <c r="G163" s="71"/>
      <c r="H163" s="70"/>
      <c r="I163" s="70"/>
      <c r="J163" s="70"/>
      <c r="K163" s="70"/>
      <c r="L163" s="70"/>
      <c r="M163" s="70"/>
      <c r="N163" s="70"/>
      <c r="O163" s="70"/>
      <c r="P163" s="70"/>
      <c r="Q163" s="70"/>
      <c r="R163" s="70"/>
    </row>
    <row r="164" spans="1:18" s="538" customFormat="1" x14ac:dyDescent="0.25">
      <c r="A164" s="70"/>
      <c r="B164" s="70"/>
      <c r="C164" s="70"/>
      <c r="D164" s="70"/>
      <c r="E164" s="70"/>
      <c r="F164" s="539"/>
      <c r="G164" s="71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</row>
    <row r="165" spans="1:18" s="538" customFormat="1" x14ac:dyDescent="0.25">
      <c r="A165" s="70"/>
      <c r="B165" s="70"/>
      <c r="C165" s="70"/>
      <c r="D165" s="70"/>
      <c r="E165" s="70"/>
      <c r="F165" s="539"/>
      <c r="G165" s="71"/>
      <c r="H165" s="70"/>
      <c r="I165" s="70"/>
      <c r="J165" s="70"/>
      <c r="K165" s="70"/>
      <c r="L165" s="70"/>
      <c r="M165" s="70"/>
      <c r="N165" s="70"/>
      <c r="O165" s="70"/>
      <c r="P165" s="70"/>
      <c r="Q165" s="70"/>
      <c r="R165" s="70"/>
    </row>
    <row r="166" spans="1:18" s="538" customFormat="1" x14ac:dyDescent="0.25">
      <c r="A166" s="70"/>
      <c r="B166" s="70"/>
      <c r="C166" s="70"/>
      <c r="D166" s="70"/>
      <c r="E166" s="70"/>
      <c r="F166" s="539"/>
      <c r="G166" s="71"/>
      <c r="H166" s="70"/>
      <c r="I166" s="70"/>
      <c r="J166" s="70"/>
      <c r="K166" s="70"/>
      <c r="L166" s="70"/>
      <c r="M166" s="70"/>
      <c r="N166" s="70"/>
      <c r="O166" s="70"/>
      <c r="P166" s="70"/>
      <c r="Q166" s="70"/>
      <c r="R166" s="70"/>
    </row>
    <row r="167" spans="1:18" s="538" customFormat="1" x14ac:dyDescent="0.25">
      <c r="A167" s="70"/>
      <c r="B167" s="70"/>
      <c r="C167" s="70"/>
      <c r="D167" s="70"/>
      <c r="E167" s="70"/>
      <c r="F167" s="539"/>
      <c r="G167" s="71"/>
      <c r="H167" s="70"/>
      <c r="I167" s="70"/>
      <c r="J167" s="70"/>
      <c r="K167" s="70"/>
      <c r="L167" s="70"/>
      <c r="M167" s="70"/>
      <c r="N167" s="70"/>
      <c r="O167" s="70"/>
      <c r="P167" s="70"/>
      <c r="Q167" s="70"/>
      <c r="R167" s="70"/>
    </row>
    <row r="168" spans="1:18" s="538" customFormat="1" x14ac:dyDescent="0.25">
      <c r="A168" s="70"/>
      <c r="B168" s="70"/>
      <c r="C168" s="70"/>
      <c r="D168" s="70"/>
      <c r="E168" s="70"/>
      <c r="F168" s="539"/>
      <c r="G168" s="71"/>
      <c r="H168" s="70"/>
      <c r="I168" s="70"/>
      <c r="J168" s="70"/>
      <c r="K168" s="70"/>
      <c r="L168" s="70"/>
      <c r="M168" s="70"/>
      <c r="N168" s="70"/>
      <c r="O168" s="70"/>
      <c r="P168" s="70"/>
      <c r="Q168" s="70"/>
      <c r="R168" s="70"/>
    </row>
    <row r="169" spans="1:18" s="538" customFormat="1" x14ac:dyDescent="0.25">
      <c r="A169" s="70"/>
      <c r="B169" s="70"/>
      <c r="C169" s="70"/>
      <c r="D169" s="70"/>
      <c r="E169" s="70"/>
      <c r="F169" s="539"/>
      <c r="G169" s="71"/>
      <c r="H169" s="70"/>
      <c r="I169" s="70"/>
      <c r="J169" s="70"/>
      <c r="K169" s="70"/>
      <c r="L169" s="70"/>
      <c r="M169" s="70"/>
      <c r="N169" s="70"/>
      <c r="O169" s="70"/>
      <c r="P169" s="70"/>
      <c r="Q169" s="70"/>
      <c r="R169" s="70"/>
    </row>
    <row r="170" spans="1:18" s="538" customFormat="1" x14ac:dyDescent="0.25">
      <c r="A170" s="70"/>
      <c r="B170" s="70"/>
      <c r="C170" s="70"/>
      <c r="D170" s="70"/>
      <c r="E170" s="70"/>
      <c r="F170" s="539"/>
      <c r="G170" s="71"/>
      <c r="H170" s="70"/>
      <c r="I170" s="70"/>
      <c r="J170" s="70"/>
      <c r="K170" s="70"/>
      <c r="L170" s="70"/>
      <c r="M170" s="70"/>
      <c r="N170" s="70"/>
      <c r="O170" s="70"/>
      <c r="P170" s="70"/>
      <c r="Q170" s="70"/>
      <c r="R170" s="70"/>
    </row>
    <row r="171" spans="1:18" s="538" customFormat="1" x14ac:dyDescent="0.25">
      <c r="A171" s="70"/>
      <c r="B171" s="70"/>
      <c r="C171" s="70"/>
      <c r="D171" s="70"/>
      <c r="E171" s="70"/>
      <c r="F171" s="539"/>
      <c r="G171" s="71"/>
      <c r="H171" s="70"/>
      <c r="I171" s="70"/>
      <c r="J171" s="70"/>
      <c r="K171" s="70"/>
      <c r="L171" s="70"/>
      <c r="M171" s="70"/>
      <c r="N171" s="70"/>
      <c r="O171" s="70"/>
      <c r="P171" s="70"/>
      <c r="Q171" s="70"/>
      <c r="R171" s="70"/>
    </row>
    <row r="172" spans="1:18" s="538" customFormat="1" x14ac:dyDescent="0.25">
      <c r="A172" s="70"/>
      <c r="B172" s="70"/>
      <c r="C172" s="70"/>
      <c r="D172" s="70"/>
      <c r="E172" s="70"/>
      <c r="F172" s="539"/>
      <c r="G172" s="71"/>
      <c r="H172" s="70"/>
      <c r="I172" s="70"/>
      <c r="J172" s="70"/>
      <c r="K172" s="70"/>
      <c r="L172" s="70"/>
      <c r="M172" s="70"/>
      <c r="N172" s="70"/>
      <c r="O172" s="70"/>
      <c r="P172" s="70"/>
      <c r="Q172" s="70"/>
      <c r="R172" s="70"/>
    </row>
    <row r="173" spans="1:18" s="538" customFormat="1" x14ac:dyDescent="0.25">
      <c r="A173" s="70"/>
      <c r="B173" s="70"/>
      <c r="C173" s="70"/>
      <c r="D173" s="70"/>
      <c r="E173" s="70"/>
      <c r="F173" s="539"/>
      <c r="G173" s="71"/>
      <c r="H173" s="70"/>
      <c r="I173" s="70"/>
      <c r="J173" s="70"/>
      <c r="K173" s="70"/>
      <c r="L173" s="70"/>
      <c r="M173" s="70"/>
      <c r="N173" s="70"/>
      <c r="O173" s="70"/>
      <c r="P173" s="70"/>
      <c r="Q173" s="70"/>
      <c r="R173" s="70"/>
    </row>
    <row r="174" spans="1:18" s="538" customFormat="1" x14ac:dyDescent="0.25">
      <c r="A174" s="70"/>
      <c r="B174" s="70"/>
      <c r="C174" s="70"/>
      <c r="D174" s="70"/>
      <c r="E174" s="70"/>
      <c r="F174" s="539"/>
      <c r="G174" s="71"/>
      <c r="H174" s="70"/>
      <c r="I174" s="70"/>
      <c r="J174" s="70"/>
      <c r="K174" s="70"/>
      <c r="L174" s="70"/>
      <c r="M174" s="70"/>
      <c r="N174" s="70"/>
      <c r="O174" s="70"/>
      <c r="P174" s="70"/>
      <c r="Q174" s="70"/>
      <c r="R174" s="70"/>
    </row>
    <row r="175" spans="1:18" s="538" customFormat="1" x14ac:dyDescent="0.25">
      <c r="A175" s="70"/>
      <c r="B175" s="70"/>
      <c r="C175" s="70"/>
      <c r="D175" s="70"/>
      <c r="E175" s="70"/>
      <c r="F175" s="539"/>
      <c r="G175" s="71"/>
      <c r="H175" s="70"/>
      <c r="I175" s="70"/>
      <c r="J175" s="70"/>
      <c r="K175" s="70"/>
      <c r="L175" s="70"/>
      <c r="M175" s="70"/>
      <c r="N175" s="70"/>
      <c r="O175" s="70"/>
      <c r="P175" s="70"/>
      <c r="Q175" s="70"/>
      <c r="R175" s="70"/>
    </row>
    <row r="176" spans="1:18" s="538" customFormat="1" x14ac:dyDescent="0.25">
      <c r="A176" s="70"/>
      <c r="B176" s="70"/>
      <c r="C176" s="70"/>
      <c r="D176" s="70"/>
      <c r="E176" s="70"/>
      <c r="F176" s="539"/>
      <c r="G176" s="71"/>
      <c r="H176" s="70"/>
      <c r="I176" s="70"/>
      <c r="J176" s="70"/>
      <c r="K176" s="70"/>
      <c r="L176" s="70"/>
      <c r="M176" s="70"/>
      <c r="N176" s="70"/>
      <c r="O176" s="70"/>
      <c r="P176" s="70"/>
      <c r="Q176" s="70"/>
      <c r="R176" s="70"/>
    </row>
    <row r="177" spans="1:18" s="538" customFormat="1" x14ac:dyDescent="0.25">
      <c r="A177" s="70"/>
      <c r="B177" s="70"/>
      <c r="C177" s="70"/>
      <c r="D177" s="70"/>
      <c r="E177" s="70"/>
      <c r="F177" s="539"/>
      <c r="G177" s="71"/>
      <c r="H177" s="70"/>
      <c r="I177" s="70"/>
      <c r="J177" s="70"/>
      <c r="K177" s="70"/>
      <c r="L177" s="70"/>
      <c r="M177" s="70"/>
      <c r="N177" s="70"/>
      <c r="O177" s="70"/>
      <c r="P177" s="70"/>
      <c r="Q177" s="70"/>
      <c r="R177" s="70"/>
    </row>
    <row r="178" spans="1:18" s="538" customFormat="1" x14ac:dyDescent="0.25">
      <c r="A178" s="70"/>
      <c r="B178" s="70"/>
      <c r="C178" s="70"/>
      <c r="D178" s="70"/>
      <c r="E178" s="70"/>
      <c r="F178" s="539"/>
      <c r="G178" s="71"/>
      <c r="H178" s="70"/>
      <c r="I178" s="70"/>
      <c r="J178" s="70"/>
      <c r="K178" s="70"/>
      <c r="L178" s="70"/>
      <c r="M178" s="70"/>
      <c r="N178" s="70"/>
      <c r="O178" s="70"/>
      <c r="P178" s="70"/>
      <c r="Q178" s="70"/>
      <c r="R178" s="70"/>
    </row>
    <row r="179" spans="1:18" s="538" customFormat="1" x14ac:dyDescent="0.25">
      <c r="A179" s="70"/>
      <c r="B179" s="70"/>
      <c r="C179" s="70"/>
      <c r="D179" s="70"/>
      <c r="E179" s="70"/>
      <c r="F179" s="539"/>
      <c r="G179" s="71"/>
      <c r="H179" s="70"/>
      <c r="I179" s="70"/>
      <c r="J179" s="70"/>
      <c r="K179" s="70"/>
      <c r="L179" s="70"/>
      <c r="M179" s="70"/>
      <c r="N179" s="70"/>
      <c r="O179" s="70"/>
      <c r="P179" s="70"/>
      <c r="Q179" s="70"/>
      <c r="R179" s="70"/>
    </row>
    <row r="180" spans="1:18" s="538" customFormat="1" x14ac:dyDescent="0.25">
      <c r="A180" s="70"/>
      <c r="B180" s="70"/>
      <c r="C180" s="70"/>
      <c r="D180" s="70"/>
      <c r="E180" s="70"/>
      <c r="F180" s="539"/>
      <c r="G180" s="71"/>
      <c r="H180" s="70"/>
      <c r="I180" s="70"/>
      <c r="J180" s="70"/>
      <c r="K180" s="70"/>
      <c r="L180" s="70"/>
      <c r="M180" s="70"/>
      <c r="N180" s="70"/>
      <c r="O180" s="70"/>
      <c r="P180" s="70"/>
      <c r="Q180" s="70"/>
      <c r="R180" s="70"/>
    </row>
    <row r="181" spans="1:18" s="538" customFormat="1" x14ac:dyDescent="0.25">
      <c r="A181" s="70"/>
      <c r="B181" s="70"/>
      <c r="C181" s="70"/>
      <c r="D181" s="70"/>
      <c r="E181" s="70"/>
      <c r="F181" s="539"/>
      <c r="G181" s="71"/>
      <c r="H181" s="70"/>
      <c r="I181" s="70"/>
      <c r="J181" s="70"/>
      <c r="K181" s="70"/>
      <c r="L181" s="70"/>
      <c r="M181" s="70"/>
      <c r="N181" s="70"/>
      <c r="O181" s="70"/>
      <c r="P181" s="70"/>
      <c r="Q181" s="70"/>
      <c r="R181" s="70"/>
    </row>
    <row r="182" spans="1:18" s="538" customFormat="1" x14ac:dyDescent="0.25">
      <c r="A182" s="70"/>
      <c r="B182" s="70"/>
      <c r="C182" s="70"/>
      <c r="D182" s="70"/>
      <c r="E182" s="70"/>
      <c r="F182" s="539"/>
      <c r="G182" s="71"/>
      <c r="H182" s="70"/>
      <c r="I182" s="70"/>
      <c r="J182" s="70"/>
      <c r="K182" s="70"/>
      <c r="L182" s="70"/>
      <c r="M182" s="70"/>
      <c r="N182" s="70"/>
      <c r="O182" s="70"/>
      <c r="P182" s="70"/>
      <c r="Q182" s="70"/>
      <c r="R182" s="70"/>
    </row>
    <row r="183" spans="1:18" s="538" customFormat="1" x14ac:dyDescent="0.25">
      <c r="A183" s="70"/>
      <c r="B183" s="70"/>
      <c r="C183" s="70"/>
      <c r="D183" s="70"/>
      <c r="E183" s="70"/>
      <c r="F183" s="539"/>
      <c r="G183" s="71"/>
      <c r="H183" s="70"/>
      <c r="I183" s="70"/>
      <c r="J183" s="70"/>
      <c r="K183" s="70"/>
      <c r="L183" s="70"/>
      <c r="M183" s="70"/>
      <c r="N183" s="70"/>
      <c r="O183" s="70"/>
      <c r="P183" s="70"/>
      <c r="Q183" s="70"/>
      <c r="R183" s="70"/>
    </row>
    <row r="184" spans="1:18" s="538" customFormat="1" x14ac:dyDescent="0.25">
      <c r="A184" s="70"/>
      <c r="B184" s="70"/>
      <c r="C184" s="70"/>
      <c r="D184" s="70"/>
      <c r="E184" s="70"/>
      <c r="F184" s="539"/>
      <c r="G184" s="71"/>
      <c r="H184" s="70"/>
      <c r="I184" s="70"/>
      <c r="J184" s="70"/>
      <c r="K184" s="70"/>
      <c r="L184" s="70"/>
      <c r="M184" s="70"/>
      <c r="N184" s="70"/>
      <c r="O184" s="70"/>
      <c r="P184" s="70"/>
      <c r="Q184" s="70"/>
      <c r="R184" s="70"/>
    </row>
    <row r="185" spans="1:18" s="538" customFormat="1" x14ac:dyDescent="0.25">
      <c r="A185" s="70"/>
      <c r="B185" s="70"/>
      <c r="C185" s="70"/>
      <c r="D185" s="70"/>
      <c r="E185" s="70"/>
      <c r="F185" s="539"/>
      <c r="G185" s="71"/>
      <c r="H185" s="70"/>
      <c r="I185" s="70"/>
      <c r="J185" s="70"/>
      <c r="K185" s="70"/>
      <c r="L185" s="70"/>
      <c r="M185" s="70"/>
      <c r="N185" s="70"/>
      <c r="O185" s="70"/>
      <c r="P185" s="70"/>
      <c r="Q185" s="70"/>
      <c r="R185" s="70"/>
    </row>
    <row r="186" spans="1:18" s="538" customFormat="1" x14ac:dyDescent="0.25">
      <c r="A186" s="70"/>
      <c r="B186" s="70"/>
      <c r="C186" s="70"/>
      <c r="D186" s="70"/>
      <c r="E186" s="70"/>
      <c r="F186" s="539"/>
      <c r="G186" s="71"/>
      <c r="H186" s="70"/>
      <c r="I186" s="70"/>
      <c r="J186" s="70"/>
      <c r="K186" s="70"/>
      <c r="L186" s="70"/>
      <c r="M186" s="70"/>
      <c r="N186" s="70"/>
      <c r="O186" s="70"/>
      <c r="P186" s="70"/>
      <c r="Q186" s="70"/>
      <c r="R186" s="70"/>
    </row>
    <row r="187" spans="1:18" s="538" customFormat="1" x14ac:dyDescent="0.25">
      <c r="A187" s="70"/>
      <c r="B187" s="70"/>
      <c r="C187" s="70"/>
      <c r="D187" s="70"/>
      <c r="E187" s="70"/>
      <c r="F187" s="539"/>
      <c r="G187" s="71"/>
      <c r="H187" s="70"/>
      <c r="I187" s="70"/>
      <c r="J187" s="70"/>
      <c r="K187" s="70"/>
      <c r="L187" s="70"/>
      <c r="M187" s="70"/>
      <c r="N187" s="70"/>
      <c r="O187" s="70"/>
      <c r="P187" s="70"/>
      <c r="Q187" s="70"/>
      <c r="R187" s="70"/>
    </row>
    <row r="188" spans="1:18" s="538" customFormat="1" x14ac:dyDescent="0.25">
      <c r="A188" s="70"/>
      <c r="B188" s="70"/>
      <c r="C188" s="70"/>
      <c r="D188" s="70"/>
      <c r="E188" s="70"/>
      <c r="F188" s="539"/>
      <c r="G188" s="71"/>
      <c r="H188" s="70"/>
      <c r="I188" s="70"/>
      <c r="J188" s="70"/>
      <c r="K188" s="70"/>
      <c r="L188" s="70"/>
      <c r="M188" s="70"/>
      <c r="N188" s="70"/>
      <c r="O188" s="70"/>
      <c r="P188" s="70"/>
      <c r="Q188" s="70"/>
      <c r="R188" s="70"/>
    </row>
    <row r="189" spans="1:18" s="538" customFormat="1" x14ac:dyDescent="0.25">
      <c r="A189" s="70"/>
      <c r="B189" s="70"/>
      <c r="C189" s="70"/>
      <c r="D189" s="70"/>
      <c r="E189" s="70"/>
      <c r="F189" s="539"/>
      <c r="G189" s="71"/>
      <c r="H189" s="70"/>
      <c r="I189" s="70"/>
      <c r="J189" s="70"/>
      <c r="K189" s="70"/>
      <c r="L189" s="70"/>
      <c r="M189" s="70"/>
      <c r="N189" s="70"/>
      <c r="O189" s="70"/>
      <c r="P189" s="70"/>
      <c r="Q189" s="70"/>
      <c r="R189" s="70"/>
    </row>
    <row r="190" spans="1:18" s="538" customFormat="1" x14ac:dyDescent="0.25">
      <c r="A190" s="70"/>
      <c r="B190" s="70"/>
      <c r="C190" s="70"/>
      <c r="D190" s="70"/>
      <c r="E190" s="70"/>
      <c r="F190" s="539"/>
      <c r="G190" s="71"/>
      <c r="H190" s="70"/>
      <c r="I190" s="70"/>
      <c r="J190" s="70"/>
      <c r="K190" s="70"/>
      <c r="L190" s="70"/>
      <c r="M190" s="70"/>
      <c r="N190" s="70"/>
      <c r="O190" s="70"/>
      <c r="P190" s="70"/>
      <c r="Q190" s="70"/>
      <c r="R190" s="70"/>
    </row>
    <row r="191" spans="1:18" s="538" customFormat="1" x14ac:dyDescent="0.25">
      <c r="A191" s="70"/>
      <c r="B191" s="70"/>
      <c r="C191" s="70"/>
      <c r="D191" s="70"/>
      <c r="E191" s="70"/>
      <c r="F191" s="539"/>
      <c r="G191" s="71"/>
      <c r="H191" s="70"/>
      <c r="I191" s="70"/>
      <c r="J191" s="70"/>
      <c r="K191" s="70"/>
      <c r="L191" s="70"/>
      <c r="M191" s="70"/>
      <c r="N191" s="70"/>
      <c r="O191" s="70"/>
      <c r="P191" s="70"/>
      <c r="Q191" s="70"/>
      <c r="R191" s="70"/>
    </row>
    <row r="192" spans="1:18" s="538" customFormat="1" x14ac:dyDescent="0.25">
      <c r="A192" s="70"/>
      <c r="B192" s="70"/>
      <c r="C192" s="70"/>
      <c r="D192" s="70"/>
      <c r="E192" s="70"/>
      <c r="F192" s="539"/>
      <c r="G192" s="71"/>
      <c r="H192" s="70"/>
      <c r="I192" s="70"/>
      <c r="J192" s="70"/>
      <c r="K192" s="70"/>
      <c r="L192" s="70"/>
      <c r="M192" s="70"/>
      <c r="N192" s="70"/>
      <c r="O192" s="70"/>
      <c r="P192" s="70"/>
      <c r="Q192" s="70"/>
      <c r="R192" s="70"/>
    </row>
    <row r="193" spans="1:18" s="538" customFormat="1" x14ac:dyDescent="0.25">
      <c r="A193" s="70"/>
      <c r="B193" s="70"/>
      <c r="C193" s="70"/>
      <c r="D193" s="70"/>
      <c r="E193" s="70"/>
      <c r="F193" s="539"/>
      <c r="G193" s="71"/>
      <c r="H193" s="70"/>
      <c r="I193" s="70"/>
      <c r="J193" s="70"/>
      <c r="K193" s="70"/>
      <c r="L193" s="70"/>
      <c r="M193" s="70"/>
      <c r="N193" s="70"/>
      <c r="O193" s="70"/>
      <c r="P193" s="70"/>
      <c r="Q193" s="70"/>
      <c r="R193" s="70"/>
    </row>
    <row r="194" spans="1:18" s="538" customFormat="1" x14ac:dyDescent="0.25">
      <c r="A194" s="70"/>
      <c r="B194" s="70"/>
      <c r="C194" s="70"/>
      <c r="D194" s="70"/>
      <c r="E194" s="70"/>
      <c r="F194" s="539"/>
      <c r="G194" s="71"/>
      <c r="H194" s="70"/>
      <c r="I194" s="70"/>
      <c r="J194" s="70"/>
      <c r="K194" s="70"/>
      <c r="L194" s="70"/>
      <c r="M194" s="70"/>
      <c r="N194" s="70"/>
      <c r="O194" s="70"/>
      <c r="P194" s="70"/>
      <c r="Q194" s="70"/>
      <c r="R194" s="70"/>
    </row>
    <row r="195" spans="1:18" s="538" customFormat="1" x14ac:dyDescent="0.25">
      <c r="A195" s="70"/>
      <c r="B195" s="70"/>
      <c r="C195" s="70"/>
      <c r="D195" s="70"/>
      <c r="E195" s="70"/>
      <c r="F195" s="539"/>
      <c r="G195" s="71"/>
      <c r="H195" s="70"/>
      <c r="I195" s="70"/>
      <c r="J195" s="70"/>
      <c r="K195" s="70"/>
      <c r="L195" s="70"/>
      <c r="M195" s="70"/>
      <c r="N195" s="70"/>
      <c r="O195" s="70"/>
      <c r="P195" s="70"/>
      <c r="Q195" s="70"/>
      <c r="R195" s="70"/>
    </row>
    <row r="196" spans="1:18" s="538" customFormat="1" x14ac:dyDescent="0.25">
      <c r="A196" s="70"/>
      <c r="B196" s="70"/>
      <c r="C196" s="70"/>
      <c r="D196" s="70"/>
      <c r="E196" s="70"/>
      <c r="F196" s="539"/>
      <c r="G196" s="71"/>
      <c r="H196" s="70"/>
      <c r="I196" s="70"/>
      <c r="J196" s="70"/>
      <c r="K196" s="70"/>
      <c r="L196" s="70"/>
      <c r="M196" s="70"/>
      <c r="N196" s="70"/>
      <c r="O196" s="70"/>
      <c r="P196" s="70"/>
      <c r="Q196" s="70"/>
      <c r="R196" s="70"/>
    </row>
    <row r="197" spans="1:18" s="538" customFormat="1" x14ac:dyDescent="0.25">
      <c r="A197" s="70"/>
      <c r="B197" s="70"/>
      <c r="C197" s="70"/>
      <c r="D197" s="70"/>
      <c r="E197" s="70"/>
      <c r="F197" s="539"/>
      <c r="G197" s="71"/>
      <c r="H197" s="70"/>
      <c r="I197" s="70"/>
      <c r="J197" s="70"/>
      <c r="K197" s="70"/>
      <c r="L197" s="70"/>
      <c r="M197" s="70"/>
      <c r="N197" s="70"/>
      <c r="O197" s="70"/>
      <c r="P197" s="70"/>
      <c r="Q197" s="70"/>
      <c r="R197" s="70"/>
    </row>
    <row r="198" spans="1:18" s="538" customFormat="1" x14ac:dyDescent="0.25">
      <c r="A198" s="70"/>
      <c r="B198" s="70"/>
      <c r="C198" s="70"/>
      <c r="D198" s="70"/>
      <c r="E198" s="70"/>
      <c r="F198" s="539"/>
      <c r="G198" s="71"/>
      <c r="H198" s="70"/>
      <c r="I198" s="70"/>
      <c r="J198" s="70"/>
      <c r="K198" s="70"/>
      <c r="L198" s="70"/>
      <c r="M198" s="70"/>
      <c r="N198" s="70"/>
      <c r="O198" s="70"/>
      <c r="P198" s="70"/>
      <c r="Q198" s="70"/>
      <c r="R198" s="70"/>
    </row>
    <row r="199" spans="1:18" s="538" customFormat="1" x14ac:dyDescent="0.25">
      <c r="A199" s="70"/>
      <c r="B199" s="70"/>
      <c r="C199" s="70"/>
      <c r="D199" s="70"/>
      <c r="E199" s="70"/>
      <c r="F199" s="539"/>
      <c r="G199" s="71"/>
      <c r="H199" s="70"/>
      <c r="I199" s="70"/>
      <c r="J199" s="70"/>
      <c r="K199" s="70"/>
      <c r="L199" s="70"/>
      <c r="M199" s="70"/>
      <c r="N199" s="70"/>
      <c r="O199" s="70"/>
      <c r="P199" s="70"/>
      <c r="Q199" s="70"/>
      <c r="R199" s="70"/>
    </row>
    <row r="200" spans="1:18" s="538" customFormat="1" x14ac:dyDescent="0.25">
      <c r="A200" s="70"/>
      <c r="B200" s="70"/>
      <c r="C200" s="70"/>
      <c r="D200" s="70"/>
      <c r="E200" s="70"/>
      <c r="F200" s="539"/>
      <c r="G200" s="71"/>
      <c r="H200" s="70"/>
      <c r="I200" s="70"/>
      <c r="J200" s="70"/>
      <c r="K200" s="70"/>
      <c r="L200" s="70"/>
      <c r="M200" s="70"/>
      <c r="N200" s="70"/>
      <c r="O200" s="70"/>
      <c r="P200" s="70"/>
      <c r="Q200" s="70"/>
      <c r="R200" s="70"/>
    </row>
    <row r="201" spans="1:18" s="538" customFormat="1" x14ac:dyDescent="0.25">
      <c r="A201" s="70"/>
      <c r="B201" s="70"/>
      <c r="C201" s="70"/>
      <c r="D201" s="70"/>
      <c r="E201" s="70"/>
      <c r="F201" s="539"/>
      <c r="G201" s="71"/>
      <c r="H201" s="70"/>
      <c r="I201" s="70"/>
      <c r="J201" s="70"/>
      <c r="K201" s="70"/>
      <c r="L201" s="70"/>
      <c r="M201" s="70"/>
      <c r="N201" s="70"/>
      <c r="O201" s="70"/>
      <c r="P201" s="70"/>
      <c r="Q201" s="70"/>
      <c r="R201" s="70"/>
    </row>
    <row r="202" spans="1:18" s="538" customFormat="1" x14ac:dyDescent="0.25">
      <c r="A202" s="70"/>
      <c r="B202" s="70"/>
      <c r="C202" s="70"/>
      <c r="D202" s="70"/>
      <c r="E202" s="70"/>
      <c r="F202" s="539"/>
      <c r="G202" s="71"/>
      <c r="H202" s="70"/>
      <c r="I202" s="70"/>
      <c r="J202" s="70"/>
      <c r="K202" s="70"/>
      <c r="L202" s="70"/>
      <c r="M202" s="70"/>
      <c r="N202" s="70"/>
      <c r="O202" s="70"/>
      <c r="P202" s="70"/>
      <c r="Q202" s="70"/>
      <c r="R202" s="70"/>
    </row>
    <row r="203" spans="1:18" s="538" customFormat="1" x14ac:dyDescent="0.25">
      <c r="A203" s="70"/>
      <c r="B203" s="70"/>
      <c r="C203" s="70"/>
      <c r="D203" s="70"/>
      <c r="E203" s="70"/>
      <c r="F203" s="539"/>
      <c r="G203" s="71"/>
      <c r="H203" s="70"/>
      <c r="I203" s="70"/>
      <c r="J203" s="70"/>
      <c r="K203" s="70"/>
      <c r="L203" s="70"/>
      <c r="M203" s="70"/>
      <c r="N203" s="70"/>
      <c r="O203" s="70"/>
      <c r="P203" s="70"/>
      <c r="Q203" s="70"/>
      <c r="R203" s="70"/>
    </row>
    <row r="204" spans="1:18" s="538" customFormat="1" x14ac:dyDescent="0.25">
      <c r="A204" s="70"/>
      <c r="B204" s="70"/>
      <c r="C204" s="70"/>
      <c r="D204" s="70"/>
      <c r="E204" s="70"/>
      <c r="F204" s="539"/>
      <c r="G204" s="71"/>
      <c r="H204" s="70"/>
      <c r="I204" s="70"/>
      <c r="J204" s="70"/>
      <c r="K204" s="70"/>
      <c r="L204" s="70"/>
      <c r="M204" s="70"/>
      <c r="N204" s="70"/>
      <c r="O204" s="70"/>
      <c r="P204" s="70"/>
      <c r="Q204" s="70"/>
      <c r="R204" s="70"/>
    </row>
    <row r="205" spans="1:18" s="538" customFormat="1" x14ac:dyDescent="0.25">
      <c r="A205" s="70"/>
      <c r="B205" s="70"/>
      <c r="C205" s="70"/>
      <c r="D205" s="70"/>
      <c r="E205" s="70"/>
      <c r="F205" s="539"/>
      <c r="G205" s="71"/>
      <c r="H205" s="70"/>
      <c r="I205" s="70"/>
      <c r="J205" s="70"/>
      <c r="K205" s="70"/>
      <c r="L205" s="70"/>
      <c r="M205" s="70"/>
      <c r="N205" s="70"/>
      <c r="O205" s="70"/>
      <c r="P205" s="70"/>
      <c r="Q205" s="70"/>
      <c r="R205" s="70"/>
    </row>
    <row r="206" spans="1:18" s="538" customFormat="1" x14ac:dyDescent="0.25">
      <c r="A206" s="70"/>
      <c r="B206" s="70"/>
      <c r="C206" s="70"/>
      <c r="D206" s="70"/>
      <c r="E206" s="70"/>
      <c r="F206" s="539"/>
      <c r="G206" s="71"/>
      <c r="H206" s="70"/>
      <c r="I206" s="70"/>
      <c r="J206" s="70"/>
      <c r="K206" s="70"/>
      <c r="L206" s="70"/>
      <c r="M206" s="70"/>
      <c r="N206" s="70"/>
      <c r="O206" s="70"/>
      <c r="P206" s="70"/>
      <c r="Q206" s="70"/>
      <c r="R206" s="70"/>
    </row>
    <row r="207" spans="1:18" s="538" customFormat="1" x14ac:dyDescent="0.25">
      <c r="A207" s="70"/>
      <c r="B207" s="70"/>
      <c r="C207" s="70"/>
      <c r="D207" s="70"/>
      <c r="E207" s="70"/>
      <c r="F207" s="539"/>
      <c r="G207" s="71"/>
      <c r="H207" s="70"/>
      <c r="I207" s="70"/>
      <c r="J207" s="70"/>
      <c r="K207" s="70"/>
      <c r="L207" s="70"/>
      <c r="M207" s="70"/>
      <c r="N207" s="70"/>
      <c r="O207" s="70"/>
      <c r="P207" s="70"/>
      <c r="Q207" s="70"/>
      <c r="R207" s="70"/>
    </row>
    <row r="208" spans="1:18" s="538" customFormat="1" x14ac:dyDescent="0.25">
      <c r="A208" s="70"/>
      <c r="B208" s="70"/>
      <c r="C208" s="70"/>
      <c r="D208" s="70"/>
      <c r="E208" s="70"/>
      <c r="F208" s="539"/>
      <c r="G208" s="71"/>
      <c r="H208" s="70"/>
      <c r="I208" s="70"/>
      <c r="J208" s="70"/>
      <c r="K208" s="70"/>
      <c r="L208" s="70"/>
      <c r="M208" s="70"/>
      <c r="N208" s="70"/>
      <c r="O208" s="70"/>
      <c r="P208" s="70"/>
      <c r="Q208" s="70"/>
      <c r="R208" s="70"/>
    </row>
    <row r="209" spans="1:18" s="538" customFormat="1" x14ac:dyDescent="0.25">
      <c r="A209" s="70"/>
      <c r="B209" s="70"/>
      <c r="C209" s="70"/>
      <c r="D209" s="70"/>
      <c r="E209" s="70"/>
      <c r="F209" s="539"/>
      <c r="G209" s="71"/>
      <c r="H209" s="70"/>
      <c r="I209" s="70"/>
      <c r="J209" s="70"/>
      <c r="K209" s="70"/>
      <c r="L209" s="70"/>
      <c r="M209" s="70"/>
      <c r="N209" s="70"/>
      <c r="O209" s="70"/>
      <c r="P209" s="70"/>
      <c r="Q209" s="70"/>
      <c r="R209" s="70"/>
    </row>
    <row r="210" spans="1:18" s="538" customFormat="1" x14ac:dyDescent="0.25">
      <c r="A210" s="70"/>
      <c r="B210" s="70"/>
      <c r="C210" s="70"/>
      <c r="D210" s="70"/>
      <c r="E210" s="70"/>
      <c r="F210" s="539"/>
      <c r="G210" s="71"/>
      <c r="H210" s="70"/>
      <c r="I210" s="70"/>
      <c r="J210" s="70"/>
      <c r="K210" s="70"/>
      <c r="L210" s="70"/>
      <c r="M210" s="70"/>
      <c r="N210" s="70"/>
      <c r="O210" s="70"/>
      <c r="P210" s="70"/>
      <c r="Q210" s="70"/>
      <c r="R210" s="70"/>
    </row>
    <row r="211" spans="1:18" s="538" customFormat="1" x14ac:dyDescent="0.25">
      <c r="A211" s="70"/>
      <c r="B211" s="70"/>
      <c r="C211" s="70"/>
      <c r="D211" s="70"/>
      <c r="E211" s="70"/>
      <c r="F211" s="539"/>
      <c r="G211" s="71"/>
      <c r="H211" s="70"/>
      <c r="I211" s="70"/>
      <c r="J211" s="70"/>
      <c r="K211" s="70"/>
      <c r="L211" s="70"/>
      <c r="M211" s="70"/>
      <c r="N211" s="70"/>
      <c r="O211" s="70"/>
      <c r="P211" s="70"/>
      <c r="Q211" s="70"/>
      <c r="R211" s="70"/>
    </row>
    <row r="212" spans="1:18" s="538" customFormat="1" x14ac:dyDescent="0.25">
      <c r="A212" s="70"/>
      <c r="B212" s="70"/>
      <c r="C212" s="70"/>
      <c r="D212" s="70"/>
      <c r="E212" s="70"/>
      <c r="F212" s="539"/>
      <c r="G212" s="71"/>
      <c r="H212" s="70"/>
      <c r="I212" s="70"/>
      <c r="J212" s="70"/>
      <c r="K212" s="70"/>
      <c r="L212" s="70"/>
      <c r="M212" s="70"/>
      <c r="N212" s="70"/>
      <c r="O212" s="70"/>
      <c r="P212" s="70"/>
      <c r="Q212" s="70"/>
      <c r="R212" s="70"/>
    </row>
    <row r="213" spans="1:18" s="538" customFormat="1" x14ac:dyDescent="0.25">
      <c r="A213" s="70"/>
      <c r="B213" s="70"/>
      <c r="C213" s="70"/>
      <c r="D213" s="70"/>
      <c r="E213" s="70"/>
      <c r="F213" s="539"/>
      <c r="G213" s="71"/>
      <c r="H213" s="70"/>
      <c r="I213" s="70"/>
      <c r="J213" s="70"/>
      <c r="K213" s="70"/>
      <c r="L213" s="70"/>
      <c r="M213" s="70"/>
      <c r="N213" s="70"/>
      <c r="O213" s="70"/>
      <c r="P213" s="70"/>
      <c r="Q213" s="70"/>
      <c r="R213" s="70"/>
    </row>
    <row r="214" spans="1:18" s="538" customFormat="1" x14ac:dyDescent="0.25">
      <c r="A214" s="70"/>
      <c r="B214" s="70"/>
      <c r="C214" s="70"/>
      <c r="D214" s="70"/>
      <c r="E214" s="70"/>
      <c r="F214" s="539"/>
      <c r="G214" s="71"/>
      <c r="H214" s="70"/>
      <c r="I214" s="70"/>
      <c r="J214" s="70"/>
      <c r="K214" s="70"/>
      <c r="L214" s="70"/>
      <c r="M214" s="70"/>
      <c r="N214" s="70"/>
      <c r="O214" s="70"/>
      <c r="P214" s="70"/>
      <c r="Q214" s="70"/>
      <c r="R214" s="70"/>
    </row>
    <row r="215" spans="1:18" s="538" customFormat="1" x14ac:dyDescent="0.25">
      <c r="A215" s="70"/>
      <c r="B215" s="70"/>
      <c r="C215" s="70"/>
      <c r="D215" s="70"/>
      <c r="E215" s="70"/>
      <c r="F215" s="539"/>
      <c r="G215" s="71"/>
      <c r="H215" s="70"/>
      <c r="I215" s="70"/>
      <c r="J215" s="70"/>
      <c r="K215" s="70"/>
      <c r="L215" s="70"/>
      <c r="M215" s="70"/>
      <c r="N215" s="70"/>
      <c r="O215" s="70"/>
      <c r="P215" s="70"/>
      <c r="Q215" s="70"/>
      <c r="R215" s="70"/>
    </row>
    <row r="216" spans="1:18" s="538" customFormat="1" x14ac:dyDescent="0.25">
      <c r="A216" s="70"/>
      <c r="B216" s="70"/>
      <c r="C216" s="70"/>
      <c r="D216" s="70"/>
      <c r="E216" s="70"/>
      <c r="F216" s="539"/>
      <c r="G216" s="71"/>
      <c r="H216" s="70"/>
      <c r="I216" s="70"/>
      <c r="J216" s="70"/>
      <c r="K216" s="70"/>
      <c r="L216" s="70"/>
      <c r="M216" s="70"/>
      <c r="N216" s="70"/>
      <c r="O216" s="70"/>
      <c r="P216" s="70"/>
      <c r="Q216" s="70"/>
      <c r="R216" s="70"/>
    </row>
    <row r="217" spans="1:18" s="538" customFormat="1" x14ac:dyDescent="0.25">
      <c r="A217" s="70"/>
      <c r="B217" s="70"/>
      <c r="C217" s="70"/>
      <c r="D217" s="70"/>
      <c r="E217" s="70"/>
      <c r="F217" s="539"/>
      <c r="G217" s="71"/>
      <c r="H217" s="70"/>
      <c r="I217" s="70"/>
      <c r="J217" s="70"/>
      <c r="K217" s="70"/>
      <c r="L217" s="70"/>
      <c r="M217" s="70"/>
      <c r="N217" s="70"/>
      <c r="O217" s="70"/>
      <c r="P217" s="70"/>
      <c r="Q217" s="70"/>
      <c r="R217" s="70"/>
    </row>
    <row r="218" spans="1:18" s="538" customFormat="1" x14ac:dyDescent="0.25">
      <c r="A218" s="70"/>
      <c r="B218" s="70"/>
      <c r="C218" s="70"/>
      <c r="D218" s="70"/>
      <c r="E218" s="70"/>
      <c r="F218" s="539"/>
      <c r="G218" s="71"/>
      <c r="H218" s="70"/>
      <c r="I218" s="70"/>
      <c r="J218" s="70"/>
      <c r="K218" s="70"/>
      <c r="L218" s="70"/>
      <c r="M218" s="70"/>
      <c r="N218" s="70"/>
      <c r="O218" s="70"/>
      <c r="P218" s="70"/>
      <c r="Q218" s="70"/>
      <c r="R218" s="70"/>
    </row>
    <row r="219" spans="1:18" s="538" customFormat="1" x14ac:dyDescent="0.25">
      <c r="A219" s="70"/>
      <c r="B219" s="70"/>
      <c r="C219" s="70"/>
      <c r="D219" s="70"/>
      <c r="E219" s="70"/>
      <c r="F219" s="539"/>
      <c r="G219" s="71"/>
      <c r="H219" s="70"/>
      <c r="I219" s="70"/>
      <c r="J219" s="70"/>
      <c r="K219" s="70"/>
      <c r="L219" s="70"/>
      <c r="M219" s="70"/>
      <c r="N219" s="70"/>
      <c r="O219" s="70"/>
      <c r="P219" s="70"/>
      <c r="Q219" s="70"/>
      <c r="R219" s="70"/>
    </row>
    <row r="220" spans="1:18" s="538" customFormat="1" x14ac:dyDescent="0.25">
      <c r="A220" s="70"/>
      <c r="B220" s="70"/>
      <c r="C220" s="70"/>
      <c r="D220" s="70"/>
      <c r="E220" s="70"/>
      <c r="F220" s="539"/>
      <c r="G220" s="71"/>
      <c r="H220" s="70"/>
      <c r="I220" s="70"/>
      <c r="J220" s="70"/>
      <c r="K220" s="70"/>
      <c r="L220" s="70"/>
      <c r="M220" s="70"/>
      <c r="N220" s="70"/>
      <c r="O220" s="70"/>
      <c r="P220" s="70"/>
      <c r="Q220" s="70"/>
      <c r="R220" s="70"/>
    </row>
    <row r="221" spans="1:18" s="538" customFormat="1" x14ac:dyDescent="0.25">
      <c r="A221" s="70"/>
      <c r="B221" s="70"/>
      <c r="C221" s="70"/>
      <c r="D221" s="70"/>
      <c r="E221" s="70"/>
      <c r="F221" s="539"/>
      <c r="G221" s="71"/>
      <c r="H221" s="70"/>
      <c r="I221" s="70"/>
      <c r="J221" s="70"/>
      <c r="K221" s="70"/>
      <c r="L221" s="70"/>
      <c r="M221" s="70"/>
      <c r="N221" s="70"/>
      <c r="O221" s="70"/>
      <c r="P221" s="70"/>
      <c r="Q221" s="70"/>
      <c r="R221" s="70"/>
    </row>
    <row r="222" spans="1:18" s="538" customFormat="1" x14ac:dyDescent="0.25">
      <c r="A222" s="70"/>
      <c r="B222" s="70"/>
      <c r="C222" s="70"/>
      <c r="D222" s="70"/>
      <c r="E222" s="70"/>
      <c r="F222" s="539"/>
      <c r="G222" s="71"/>
      <c r="H222" s="70"/>
      <c r="I222" s="70"/>
      <c r="J222" s="70"/>
      <c r="K222" s="70"/>
      <c r="L222" s="70"/>
      <c r="M222" s="70"/>
      <c r="N222" s="70"/>
      <c r="O222" s="70"/>
      <c r="P222" s="70"/>
      <c r="Q222" s="70"/>
      <c r="R222" s="70"/>
    </row>
    <row r="223" spans="1:18" s="538" customFormat="1" x14ac:dyDescent="0.25">
      <c r="A223" s="70"/>
      <c r="B223" s="70"/>
      <c r="C223" s="70"/>
      <c r="D223" s="70"/>
      <c r="E223" s="70"/>
      <c r="F223" s="539"/>
      <c r="G223" s="71"/>
      <c r="H223" s="70"/>
      <c r="I223" s="70"/>
      <c r="J223" s="70"/>
      <c r="K223" s="70"/>
      <c r="L223" s="70"/>
      <c r="M223" s="70"/>
      <c r="N223" s="70"/>
      <c r="O223" s="70"/>
      <c r="P223" s="70"/>
      <c r="Q223" s="70"/>
      <c r="R223" s="70"/>
    </row>
    <row r="224" spans="1:18" s="538" customFormat="1" x14ac:dyDescent="0.25">
      <c r="A224" s="70"/>
      <c r="B224" s="70"/>
      <c r="C224" s="70"/>
      <c r="D224" s="70"/>
      <c r="E224" s="70"/>
      <c r="F224" s="539"/>
      <c r="G224" s="71"/>
      <c r="H224" s="70"/>
      <c r="I224" s="70"/>
      <c r="J224" s="70"/>
      <c r="K224" s="70"/>
      <c r="L224" s="70"/>
      <c r="M224" s="70"/>
      <c r="N224" s="70"/>
      <c r="O224" s="70"/>
      <c r="P224" s="70"/>
      <c r="Q224" s="70"/>
      <c r="R224" s="70"/>
    </row>
    <row r="225" spans="1:18" s="538" customFormat="1" x14ac:dyDescent="0.25">
      <c r="A225" s="70"/>
      <c r="B225" s="70"/>
      <c r="C225" s="70"/>
      <c r="D225" s="70"/>
      <c r="E225" s="70"/>
      <c r="F225" s="539"/>
      <c r="G225" s="71"/>
      <c r="H225" s="70"/>
      <c r="I225" s="70"/>
      <c r="J225" s="70"/>
      <c r="K225" s="70"/>
      <c r="L225" s="70"/>
      <c r="M225" s="70"/>
      <c r="N225" s="70"/>
      <c r="O225" s="70"/>
      <c r="P225" s="70"/>
      <c r="Q225" s="70"/>
      <c r="R225" s="70"/>
    </row>
    <row r="226" spans="1:18" s="538" customFormat="1" x14ac:dyDescent="0.25">
      <c r="A226" s="70"/>
      <c r="B226" s="70"/>
      <c r="C226" s="70"/>
      <c r="D226" s="70"/>
      <c r="E226" s="70"/>
      <c r="F226" s="539"/>
      <c r="G226" s="71"/>
      <c r="H226" s="70"/>
      <c r="I226" s="70"/>
      <c r="J226" s="70"/>
      <c r="K226" s="70"/>
      <c r="L226" s="70"/>
      <c r="M226" s="70"/>
      <c r="N226" s="70"/>
      <c r="O226" s="70"/>
      <c r="P226" s="70"/>
      <c r="Q226" s="70"/>
      <c r="R226" s="70"/>
    </row>
    <row r="227" spans="1:18" s="538" customFormat="1" x14ac:dyDescent="0.25">
      <c r="A227" s="70"/>
      <c r="B227" s="70"/>
      <c r="C227" s="70"/>
      <c r="D227" s="70"/>
      <c r="E227" s="70"/>
      <c r="F227" s="539"/>
      <c r="G227" s="71"/>
      <c r="H227" s="70"/>
      <c r="I227" s="70"/>
      <c r="J227" s="70"/>
      <c r="K227" s="70"/>
      <c r="L227" s="70"/>
      <c r="M227" s="70"/>
      <c r="N227" s="70"/>
      <c r="O227" s="70"/>
      <c r="P227" s="70"/>
      <c r="Q227" s="70"/>
      <c r="R227" s="70"/>
    </row>
    <row r="228" spans="1:18" s="538" customFormat="1" x14ac:dyDescent="0.25">
      <c r="A228" s="70"/>
      <c r="B228" s="70"/>
      <c r="C228" s="70"/>
      <c r="D228" s="70"/>
      <c r="E228" s="70"/>
      <c r="F228" s="539"/>
      <c r="G228" s="71"/>
      <c r="H228" s="70"/>
      <c r="I228" s="70"/>
      <c r="J228" s="70"/>
      <c r="K228" s="70"/>
      <c r="L228" s="70"/>
      <c r="M228" s="70"/>
      <c r="N228" s="70"/>
      <c r="O228" s="70"/>
      <c r="P228" s="70"/>
      <c r="Q228" s="70"/>
      <c r="R228" s="70"/>
    </row>
    <row r="229" spans="1:18" s="538" customFormat="1" x14ac:dyDescent="0.25">
      <c r="A229" s="70"/>
      <c r="B229" s="70"/>
      <c r="C229" s="70"/>
      <c r="D229" s="70"/>
      <c r="E229" s="70"/>
      <c r="F229" s="539"/>
      <c r="G229" s="71"/>
      <c r="H229" s="70"/>
      <c r="I229" s="70"/>
      <c r="J229" s="70"/>
      <c r="K229" s="70"/>
      <c r="L229" s="70"/>
      <c r="M229" s="70"/>
      <c r="N229" s="70"/>
      <c r="O229" s="70"/>
      <c r="P229" s="70"/>
      <c r="Q229" s="70"/>
      <c r="R229" s="70"/>
    </row>
    <row r="230" spans="1:18" s="538" customFormat="1" x14ac:dyDescent="0.25">
      <c r="A230" s="70"/>
      <c r="B230" s="70"/>
      <c r="C230" s="70"/>
      <c r="D230" s="70"/>
      <c r="E230" s="70"/>
      <c r="F230" s="539"/>
      <c r="G230" s="71"/>
      <c r="H230" s="70"/>
      <c r="I230" s="70"/>
      <c r="J230" s="70"/>
      <c r="K230" s="70"/>
      <c r="L230" s="70"/>
      <c r="M230" s="70"/>
      <c r="N230" s="70"/>
      <c r="O230" s="70"/>
      <c r="P230" s="70"/>
      <c r="Q230" s="70"/>
      <c r="R230" s="70"/>
    </row>
    <row r="231" spans="1:18" s="538" customFormat="1" x14ac:dyDescent="0.25">
      <c r="A231" s="70"/>
      <c r="B231" s="70"/>
      <c r="C231" s="70"/>
      <c r="D231" s="70"/>
      <c r="E231" s="70"/>
      <c r="F231" s="539"/>
      <c r="G231" s="71"/>
      <c r="H231" s="70"/>
      <c r="I231" s="70"/>
      <c r="J231" s="70"/>
      <c r="K231" s="70"/>
      <c r="L231" s="70"/>
      <c r="M231" s="70"/>
      <c r="N231" s="70"/>
      <c r="O231" s="70"/>
      <c r="P231" s="70"/>
      <c r="Q231" s="70"/>
      <c r="R231" s="70"/>
    </row>
    <row r="232" spans="1:18" s="538" customFormat="1" x14ac:dyDescent="0.25">
      <c r="A232" s="70"/>
      <c r="B232" s="70"/>
      <c r="C232" s="70"/>
      <c r="D232" s="70"/>
      <c r="E232" s="70"/>
      <c r="F232" s="539"/>
      <c r="G232" s="71"/>
      <c r="H232" s="70"/>
      <c r="I232" s="70"/>
      <c r="J232" s="70"/>
      <c r="K232" s="70"/>
      <c r="L232" s="70"/>
      <c r="M232" s="70"/>
      <c r="N232" s="70"/>
      <c r="O232" s="70"/>
      <c r="P232" s="70"/>
      <c r="Q232" s="70"/>
      <c r="R232" s="70"/>
    </row>
    <row r="233" spans="1:18" s="538" customFormat="1" x14ac:dyDescent="0.25">
      <c r="A233" s="70"/>
      <c r="B233" s="70"/>
      <c r="C233" s="70"/>
      <c r="D233" s="70"/>
      <c r="E233" s="70"/>
      <c r="F233" s="539"/>
      <c r="G233" s="71"/>
      <c r="H233" s="70"/>
      <c r="I233" s="70"/>
      <c r="J233" s="70"/>
      <c r="K233" s="70"/>
      <c r="L233" s="70"/>
      <c r="M233" s="70"/>
      <c r="N233" s="70"/>
      <c r="O233" s="70"/>
      <c r="P233" s="70"/>
      <c r="Q233" s="70"/>
      <c r="R233" s="70"/>
    </row>
    <row r="234" spans="1:18" s="538" customFormat="1" x14ac:dyDescent="0.25">
      <c r="A234" s="70"/>
      <c r="B234" s="70"/>
      <c r="C234" s="70"/>
      <c r="D234" s="70"/>
      <c r="E234" s="70"/>
      <c r="F234" s="539"/>
      <c r="G234" s="71"/>
      <c r="H234" s="70"/>
      <c r="I234" s="70"/>
      <c r="J234" s="70"/>
      <c r="K234" s="70"/>
      <c r="L234" s="70"/>
      <c r="M234" s="70"/>
      <c r="N234" s="70"/>
      <c r="O234" s="70"/>
      <c r="P234" s="70"/>
      <c r="Q234" s="70"/>
      <c r="R234" s="70"/>
    </row>
    <row r="235" spans="1:18" s="538" customFormat="1" x14ac:dyDescent="0.25">
      <c r="A235" s="70"/>
      <c r="B235" s="70"/>
      <c r="C235" s="70"/>
      <c r="D235" s="70"/>
      <c r="E235" s="70"/>
      <c r="F235" s="539"/>
      <c r="G235" s="71"/>
      <c r="H235" s="70"/>
      <c r="I235" s="70"/>
      <c r="J235" s="70"/>
      <c r="K235" s="70"/>
      <c r="L235" s="70"/>
      <c r="M235" s="70"/>
      <c r="N235" s="70"/>
      <c r="O235" s="70"/>
      <c r="P235" s="70"/>
      <c r="Q235" s="70"/>
      <c r="R235" s="70"/>
    </row>
    <row r="236" spans="1:18" s="538" customFormat="1" x14ac:dyDescent="0.25">
      <c r="A236" s="70"/>
      <c r="B236" s="70"/>
      <c r="C236" s="70"/>
      <c r="D236" s="70"/>
      <c r="E236" s="70"/>
      <c r="F236" s="539"/>
      <c r="G236" s="71"/>
      <c r="H236" s="70"/>
      <c r="I236" s="70"/>
      <c r="J236" s="70"/>
      <c r="K236" s="70"/>
      <c r="L236" s="70"/>
      <c r="M236" s="70"/>
      <c r="N236" s="70"/>
      <c r="O236" s="70"/>
      <c r="P236" s="70"/>
      <c r="Q236" s="70"/>
      <c r="R236" s="70"/>
    </row>
    <row r="237" spans="1:18" s="538" customFormat="1" x14ac:dyDescent="0.25">
      <c r="A237" s="70"/>
      <c r="B237" s="70"/>
      <c r="C237" s="70"/>
      <c r="D237" s="70"/>
      <c r="E237" s="70"/>
      <c r="F237" s="539"/>
      <c r="G237" s="71"/>
      <c r="H237" s="70"/>
      <c r="I237" s="70"/>
      <c r="J237" s="70"/>
      <c r="K237" s="70"/>
      <c r="L237" s="70"/>
      <c r="M237" s="70"/>
      <c r="N237" s="70"/>
      <c r="O237" s="70"/>
      <c r="P237" s="70"/>
      <c r="Q237" s="70"/>
      <c r="R237" s="70"/>
    </row>
    <row r="238" spans="1:18" s="538" customFormat="1" x14ac:dyDescent="0.25">
      <c r="A238" s="70"/>
      <c r="B238" s="70"/>
      <c r="C238" s="70"/>
      <c r="D238" s="70"/>
      <c r="E238" s="70"/>
      <c r="F238" s="539"/>
      <c r="G238" s="71"/>
      <c r="H238" s="70"/>
      <c r="I238" s="70"/>
      <c r="J238" s="70"/>
      <c r="K238" s="70"/>
      <c r="L238" s="70"/>
      <c r="M238" s="70"/>
      <c r="N238" s="70"/>
      <c r="O238" s="70"/>
      <c r="P238" s="70"/>
      <c r="Q238" s="70"/>
      <c r="R238" s="70"/>
    </row>
    <row r="239" spans="1:18" s="538" customFormat="1" x14ac:dyDescent="0.25">
      <c r="A239" s="70"/>
      <c r="B239" s="70"/>
      <c r="C239" s="70"/>
      <c r="D239" s="70"/>
      <c r="E239" s="70"/>
      <c r="F239" s="539"/>
      <c r="G239" s="71"/>
      <c r="H239" s="70"/>
      <c r="I239" s="70"/>
      <c r="J239" s="70"/>
      <c r="K239" s="70"/>
      <c r="L239" s="70"/>
      <c r="M239" s="70"/>
      <c r="N239" s="70"/>
      <c r="O239" s="70"/>
      <c r="P239" s="70"/>
      <c r="Q239" s="70"/>
      <c r="R239" s="70"/>
    </row>
    <row r="240" spans="1:18" s="538" customFormat="1" x14ac:dyDescent="0.25">
      <c r="A240" s="70"/>
      <c r="B240" s="70"/>
      <c r="C240" s="70"/>
      <c r="D240" s="70"/>
      <c r="E240" s="70"/>
      <c r="F240" s="539"/>
      <c r="G240" s="71"/>
      <c r="H240" s="70"/>
      <c r="I240" s="70"/>
      <c r="J240" s="70"/>
      <c r="K240" s="70"/>
      <c r="L240" s="70"/>
      <c r="M240" s="70"/>
      <c r="N240" s="70"/>
      <c r="O240" s="70"/>
      <c r="P240" s="70"/>
      <c r="Q240" s="70"/>
      <c r="R240" s="70"/>
    </row>
    <row r="241" spans="1:18" s="538" customFormat="1" x14ac:dyDescent="0.25">
      <c r="A241" s="70"/>
      <c r="B241" s="70"/>
      <c r="C241" s="70"/>
      <c r="D241" s="70"/>
      <c r="E241" s="70"/>
      <c r="F241" s="539"/>
      <c r="G241" s="71"/>
      <c r="H241" s="70"/>
      <c r="I241" s="70"/>
      <c r="J241" s="70"/>
      <c r="K241" s="70"/>
      <c r="L241" s="70"/>
      <c r="M241" s="70"/>
      <c r="N241" s="70"/>
      <c r="O241" s="70"/>
      <c r="P241" s="70"/>
      <c r="Q241" s="70"/>
      <c r="R241" s="70"/>
    </row>
    <row r="242" spans="1:18" s="538" customFormat="1" x14ac:dyDescent="0.25">
      <c r="A242" s="70"/>
      <c r="B242" s="70"/>
      <c r="C242" s="70"/>
      <c r="D242" s="70"/>
      <c r="E242" s="70"/>
      <c r="F242" s="539"/>
      <c r="G242" s="71"/>
      <c r="H242" s="70"/>
      <c r="I242" s="70"/>
      <c r="J242" s="70"/>
      <c r="K242" s="70"/>
      <c r="L242" s="70"/>
      <c r="M242" s="70"/>
      <c r="N242" s="70"/>
      <c r="O242" s="70"/>
      <c r="P242" s="70"/>
      <c r="Q242" s="70"/>
      <c r="R242" s="70"/>
    </row>
    <row r="243" spans="1:18" s="538" customFormat="1" x14ac:dyDescent="0.25">
      <c r="A243" s="70"/>
      <c r="B243" s="70"/>
      <c r="C243" s="70"/>
      <c r="D243" s="70"/>
      <c r="E243" s="70"/>
      <c r="F243" s="539"/>
      <c r="G243" s="71"/>
      <c r="H243" s="70"/>
      <c r="I243" s="70"/>
      <c r="J243" s="70"/>
      <c r="K243" s="70"/>
      <c r="L243" s="70"/>
      <c r="M243" s="70"/>
      <c r="N243" s="70"/>
      <c r="O243" s="70"/>
      <c r="P243" s="70"/>
      <c r="Q243" s="70"/>
      <c r="R243" s="70"/>
    </row>
    <row r="244" spans="1:18" s="538" customFormat="1" x14ac:dyDescent="0.25">
      <c r="A244" s="70"/>
      <c r="B244" s="70"/>
      <c r="C244" s="70"/>
      <c r="D244" s="70"/>
      <c r="E244" s="70"/>
      <c r="F244" s="539"/>
      <c r="G244" s="71"/>
      <c r="H244" s="70"/>
      <c r="I244" s="70"/>
      <c r="J244" s="70"/>
      <c r="K244" s="70"/>
      <c r="L244" s="70"/>
      <c r="M244" s="70"/>
      <c r="N244" s="70"/>
      <c r="O244" s="70"/>
      <c r="P244" s="70"/>
      <c r="Q244" s="70"/>
      <c r="R244" s="70"/>
    </row>
    <row r="245" spans="1:18" s="538" customFormat="1" x14ac:dyDescent="0.25">
      <c r="A245" s="70"/>
      <c r="B245" s="70"/>
      <c r="C245" s="70"/>
      <c r="D245" s="70"/>
      <c r="E245" s="70"/>
      <c r="F245" s="539"/>
      <c r="G245" s="71"/>
      <c r="H245" s="70"/>
      <c r="I245" s="70"/>
      <c r="J245" s="70"/>
      <c r="K245" s="70"/>
      <c r="L245" s="70"/>
      <c r="M245" s="70"/>
      <c r="N245" s="70"/>
      <c r="O245" s="70"/>
      <c r="P245" s="70"/>
      <c r="Q245" s="70"/>
      <c r="R245" s="70"/>
    </row>
    <row r="246" spans="1:18" s="538" customFormat="1" x14ac:dyDescent="0.25">
      <c r="A246" s="70"/>
      <c r="B246" s="70"/>
      <c r="C246" s="70"/>
      <c r="D246" s="70"/>
      <c r="E246" s="70"/>
      <c r="F246" s="539"/>
      <c r="G246" s="71"/>
      <c r="H246" s="70"/>
      <c r="I246" s="70"/>
      <c r="J246" s="70"/>
      <c r="K246" s="70"/>
      <c r="L246" s="70"/>
      <c r="M246" s="70"/>
      <c r="N246" s="70"/>
      <c r="O246" s="70"/>
      <c r="P246" s="70"/>
      <c r="Q246" s="70"/>
      <c r="R246" s="70"/>
    </row>
    <row r="247" spans="1:18" s="538" customFormat="1" x14ac:dyDescent="0.25">
      <c r="A247" s="70"/>
      <c r="B247" s="70"/>
      <c r="C247" s="70"/>
      <c r="D247" s="70"/>
      <c r="E247" s="70"/>
      <c r="F247" s="539"/>
      <c r="G247" s="71"/>
      <c r="H247" s="70"/>
      <c r="I247" s="70"/>
      <c r="J247" s="70"/>
      <c r="K247" s="70"/>
      <c r="L247" s="70"/>
      <c r="M247" s="70"/>
      <c r="N247" s="70"/>
      <c r="O247" s="70"/>
      <c r="P247" s="70"/>
      <c r="Q247" s="70"/>
      <c r="R247" s="70"/>
    </row>
    <row r="248" spans="1:18" s="538" customFormat="1" x14ac:dyDescent="0.25">
      <c r="A248" s="70"/>
      <c r="B248" s="70"/>
      <c r="C248" s="70"/>
      <c r="D248" s="70"/>
      <c r="E248" s="70"/>
      <c r="F248" s="539"/>
      <c r="G248" s="71"/>
      <c r="H248" s="70"/>
      <c r="I248" s="70"/>
      <c r="J248" s="70"/>
      <c r="K248" s="70"/>
      <c r="L248" s="70"/>
      <c r="M248" s="70"/>
      <c r="N248" s="70"/>
      <c r="O248" s="70"/>
      <c r="P248" s="70"/>
      <c r="Q248" s="70"/>
      <c r="R248" s="70"/>
    </row>
    <row r="249" spans="1:18" s="538" customFormat="1" x14ac:dyDescent="0.25">
      <c r="A249" s="70"/>
      <c r="B249" s="70"/>
      <c r="C249" s="70"/>
      <c r="D249" s="70"/>
      <c r="E249" s="70"/>
      <c r="F249" s="539"/>
      <c r="G249" s="71"/>
      <c r="H249" s="70"/>
      <c r="I249" s="70"/>
      <c r="J249" s="70"/>
      <c r="K249" s="70"/>
      <c r="L249" s="70"/>
      <c r="M249" s="70"/>
      <c r="N249" s="70"/>
      <c r="O249" s="70"/>
      <c r="P249" s="70"/>
      <c r="Q249" s="70"/>
      <c r="R249" s="70"/>
    </row>
    <row r="250" spans="1:18" s="538" customFormat="1" x14ac:dyDescent="0.25">
      <c r="A250" s="70"/>
      <c r="B250" s="70"/>
      <c r="C250" s="70"/>
      <c r="D250" s="70"/>
      <c r="E250" s="70"/>
      <c r="F250" s="539"/>
      <c r="G250" s="71"/>
      <c r="H250" s="70"/>
      <c r="I250" s="70"/>
      <c r="J250" s="70"/>
      <c r="K250" s="70"/>
      <c r="L250" s="70"/>
      <c r="M250" s="70"/>
      <c r="N250" s="70"/>
      <c r="O250" s="70"/>
      <c r="P250" s="70"/>
      <c r="Q250" s="70"/>
      <c r="R250" s="70"/>
    </row>
    <row r="251" spans="1:18" s="538" customFormat="1" x14ac:dyDescent="0.25">
      <c r="A251" s="70"/>
      <c r="B251" s="70"/>
      <c r="C251" s="70"/>
      <c r="D251" s="70"/>
      <c r="E251" s="70"/>
      <c r="F251" s="539"/>
      <c r="G251" s="71"/>
      <c r="H251" s="70"/>
      <c r="I251" s="70"/>
      <c r="J251" s="70"/>
      <c r="K251" s="70"/>
      <c r="L251" s="70"/>
      <c r="M251" s="70"/>
      <c r="N251" s="70"/>
      <c r="O251" s="70"/>
      <c r="P251" s="70"/>
      <c r="Q251" s="70"/>
      <c r="R251" s="70"/>
    </row>
    <row r="252" spans="1:18" s="538" customFormat="1" x14ac:dyDescent="0.25">
      <c r="A252" s="70"/>
      <c r="B252" s="70"/>
      <c r="C252" s="70"/>
      <c r="D252" s="70"/>
      <c r="E252" s="70"/>
      <c r="F252" s="539"/>
      <c r="G252" s="71"/>
      <c r="H252" s="70"/>
      <c r="I252" s="70"/>
      <c r="J252" s="70"/>
      <c r="K252" s="70"/>
      <c r="L252" s="70"/>
      <c r="M252" s="70"/>
      <c r="N252" s="70"/>
      <c r="O252" s="70"/>
      <c r="P252" s="70"/>
      <c r="Q252" s="70"/>
      <c r="R252" s="70"/>
    </row>
    <row r="253" spans="1:18" s="538" customFormat="1" x14ac:dyDescent="0.25">
      <c r="A253" s="70"/>
      <c r="B253" s="70"/>
      <c r="C253" s="70"/>
      <c r="D253" s="70"/>
      <c r="E253" s="70"/>
      <c r="F253" s="539"/>
      <c r="G253" s="71"/>
      <c r="H253" s="70"/>
      <c r="I253" s="70"/>
      <c r="J253" s="70"/>
      <c r="K253" s="70"/>
      <c r="L253" s="70"/>
      <c r="M253" s="70"/>
      <c r="N253" s="70"/>
      <c r="O253" s="70"/>
      <c r="P253" s="70"/>
      <c r="Q253" s="70"/>
      <c r="R253" s="70"/>
    </row>
    <row r="254" spans="1:18" s="538" customFormat="1" x14ac:dyDescent="0.25">
      <c r="A254" s="70"/>
      <c r="B254" s="70"/>
      <c r="C254" s="70"/>
      <c r="D254" s="70"/>
      <c r="E254" s="70"/>
      <c r="F254" s="539"/>
      <c r="G254" s="71"/>
      <c r="H254" s="70"/>
      <c r="I254" s="70"/>
      <c r="J254" s="70"/>
      <c r="K254" s="70"/>
      <c r="L254" s="70"/>
      <c r="M254" s="70"/>
      <c r="N254" s="70"/>
      <c r="O254" s="70"/>
      <c r="P254" s="70"/>
      <c r="Q254" s="70"/>
      <c r="R254" s="70"/>
    </row>
    <row r="255" spans="1:18" s="538" customFormat="1" x14ac:dyDescent="0.25">
      <c r="A255" s="70"/>
      <c r="B255" s="70"/>
      <c r="C255" s="70"/>
      <c r="D255" s="70"/>
      <c r="E255" s="70"/>
      <c r="F255" s="539"/>
      <c r="G255" s="71"/>
      <c r="H255" s="70"/>
      <c r="I255" s="70"/>
      <c r="J255" s="70"/>
      <c r="K255" s="70"/>
      <c r="L255" s="70"/>
      <c r="M255" s="70"/>
      <c r="N255" s="70"/>
      <c r="O255" s="70"/>
      <c r="P255" s="70"/>
      <c r="Q255" s="70"/>
      <c r="R255" s="70"/>
    </row>
    <row r="256" spans="1:18" s="538" customFormat="1" x14ac:dyDescent="0.25">
      <c r="A256" s="70"/>
      <c r="B256" s="70"/>
      <c r="C256" s="70"/>
      <c r="D256" s="70"/>
      <c r="E256" s="70"/>
      <c r="F256" s="539"/>
      <c r="G256" s="71"/>
      <c r="H256" s="70"/>
      <c r="I256" s="70"/>
      <c r="J256" s="70"/>
      <c r="K256" s="70"/>
      <c r="L256" s="70"/>
      <c r="M256" s="70"/>
      <c r="N256" s="70"/>
      <c r="O256" s="70"/>
      <c r="P256" s="70"/>
      <c r="Q256" s="70"/>
      <c r="R256" s="70"/>
    </row>
    <row r="257" spans="1:18" s="538" customFormat="1" x14ac:dyDescent="0.25">
      <c r="A257" s="70"/>
      <c r="B257" s="70"/>
      <c r="C257" s="70"/>
      <c r="D257" s="70"/>
      <c r="E257" s="70"/>
      <c r="F257" s="539"/>
      <c r="G257" s="71"/>
      <c r="H257" s="70"/>
      <c r="I257" s="70"/>
      <c r="J257" s="70"/>
      <c r="K257" s="70"/>
      <c r="L257" s="70"/>
      <c r="M257" s="70"/>
      <c r="N257" s="70"/>
      <c r="O257" s="70"/>
      <c r="P257" s="70"/>
      <c r="Q257" s="70"/>
      <c r="R257" s="70"/>
    </row>
    <row r="258" spans="1:18" s="538" customFormat="1" x14ac:dyDescent="0.25">
      <c r="A258" s="70"/>
      <c r="B258" s="70"/>
      <c r="C258" s="70"/>
      <c r="D258" s="70"/>
      <c r="E258" s="70"/>
      <c r="F258" s="539"/>
      <c r="G258" s="71"/>
      <c r="H258" s="70"/>
      <c r="I258" s="70"/>
      <c r="J258" s="70"/>
      <c r="K258" s="70"/>
      <c r="L258" s="70"/>
      <c r="M258" s="70"/>
      <c r="N258" s="70"/>
      <c r="O258" s="70"/>
      <c r="P258" s="70"/>
      <c r="Q258" s="70"/>
      <c r="R258" s="70"/>
    </row>
    <row r="259" spans="1:18" s="538" customFormat="1" x14ac:dyDescent="0.25">
      <c r="A259" s="70"/>
      <c r="B259" s="70"/>
      <c r="C259" s="70"/>
      <c r="D259" s="70"/>
      <c r="E259" s="70"/>
      <c r="F259" s="539"/>
      <c r="G259" s="71"/>
      <c r="H259" s="70"/>
      <c r="I259" s="70"/>
      <c r="J259" s="70"/>
      <c r="K259" s="70"/>
      <c r="L259" s="70"/>
      <c r="M259" s="70"/>
      <c r="N259" s="70"/>
      <c r="O259" s="70"/>
      <c r="P259" s="70"/>
      <c r="Q259" s="70"/>
      <c r="R259" s="70"/>
    </row>
    <row r="260" spans="1:18" s="538" customFormat="1" x14ac:dyDescent="0.25">
      <c r="A260" s="70"/>
      <c r="B260" s="70"/>
      <c r="C260" s="70"/>
      <c r="D260" s="70"/>
      <c r="E260" s="70"/>
      <c r="F260" s="539"/>
      <c r="G260" s="71"/>
      <c r="H260" s="70"/>
      <c r="I260" s="70"/>
      <c r="J260" s="70"/>
      <c r="K260" s="70"/>
      <c r="L260" s="70"/>
      <c r="M260" s="70"/>
      <c r="N260" s="70"/>
      <c r="O260" s="70"/>
      <c r="P260" s="70"/>
      <c r="Q260" s="70"/>
      <c r="R260" s="70"/>
    </row>
    <row r="261" spans="1:18" s="538" customFormat="1" x14ac:dyDescent="0.25">
      <c r="A261" s="70"/>
      <c r="B261" s="70"/>
      <c r="C261" s="70"/>
      <c r="D261" s="70"/>
      <c r="E261" s="70"/>
      <c r="F261" s="539"/>
      <c r="G261" s="71"/>
      <c r="H261" s="70"/>
      <c r="I261" s="70"/>
      <c r="J261" s="70"/>
      <c r="K261" s="70"/>
      <c r="L261" s="70"/>
      <c r="M261" s="70"/>
      <c r="N261" s="70"/>
      <c r="O261" s="70"/>
      <c r="P261" s="70"/>
      <c r="Q261" s="70"/>
      <c r="R261" s="70"/>
    </row>
    <row r="262" spans="1:18" s="538" customFormat="1" x14ac:dyDescent="0.25">
      <c r="A262" s="70"/>
      <c r="B262" s="70"/>
      <c r="C262" s="70"/>
      <c r="D262" s="70"/>
      <c r="E262" s="70"/>
      <c r="F262" s="539"/>
      <c r="G262" s="71"/>
      <c r="H262" s="70"/>
      <c r="I262" s="70"/>
      <c r="J262" s="70"/>
      <c r="K262" s="70"/>
      <c r="L262" s="70"/>
      <c r="M262" s="70"/>
      <c r="N262" s="70"/>
      <c r="O262" s="70"/>
      <c r="P262" s="70"/>
      <c r="Q262" s="70"/>
      <c r="R262" s="70"/>
    </row>
    <row r="263" spans="1:18" s="538" customFormat="1" x14ac:dyDescent="0.25">
      <c r="A263" s="70"/>
      <c r="B263" s="70"/>
      <c r="C263" s="70"/>
      <c r="D263" s="70"/>
      <c r="E263" s="70"/>
      <c r="F263" s="539"/>
      <c r="G263" s="71"/>
      <c r="H263" s="70"/>
      <c r="I263" s="70"/>
      <c r="J263" s="70"/>
      <c r="K263" s="70"/>
      <c r="L263" s="70"/>
      <c r="M263" s="70"/>
      <c r="N263" s="70"/>
      <c r="O263" s="70"/>
      <c r="P263" s="70"/>
      <c r="Q263" s="70"/>
      <c r="R263" s="70"/>
    </row>
    <row r="264" spans="1:18" s="538" customFormat="1" x14ac:dyDescent="0.25">
      <c r="A264" s="70"/>
      <c r="B264" s="70"/>
      <c r="C264" s="70"/>
      <c r="D264" s="70"/>
      <c r="E264" s="70"/>
      <c r="F264" s="539"/>
      <c r="G264" s="71"/>
      <c r="H264" s="70"/>
      <c r="I264" s="70"/>
      <c r="J264" s="70"/>
      <c r="K264" s="70"/>
      <c r="L264" s="70"/>
      <c r="M264" s="70"/>
      <c r="N264" s="70"/>
      <c r="O264" s="70"/>
      <c r="P264" s="70"/>
      <c r="Q264" s="70"/>
      <c r="R264" s="70"/>
    </row>
    <row r="265" spans="1:18" s="538" customFormat="1" x14ac:dyDescent="0.25">
      <c r="A265" s="70"/>
      <c r="B265" s="70"/>
      <c r="C265" s="70"/>
      <c r="D265" s="70"/>
      <c r="E265" s="70"/>
      <c r="F265" s="539"/>
      <c r="G265" s="71"/>
      <c r="H265" s="70"/>
      <c r="I265" s="70"/>
      <c r="J265" s="70"/>
      <c r="K265" s="70"/>
      <c r="L265" s="70"/>
      <c r="M265" s="70"/>
      <c r="N265" s="70"/>
      <c r="O265" s="70"/>
      <c r="P265" s="70"/>
      <c r="Q265" s="70"/>
      <c r="R265" s="70"/>
    </row>
    <row r="266" spans="1:18" s="538" customFormat="1" x14ac:dyDescent="0.25">
      <c r="A266" s="70"/>
      <c r="B266" s="70"/>
      <c r="C266" s="70"/>
      <c r="D266" s="70"/>
      <c r="E266" s="70"/>
      <c r="F266" s="539"/>
      <c r="G266" s="71"/>
      <c r="H266" s="70"/>
      <c r="I266" s="70"/>
      <c r="J266" s="70"/>
      <c r="K266" s="70"/>
      <c r="L266" s="70"/>
      <c r="M266" s="70"/>
      <c r="N266" s="70"/>
      <c r="O266" s="70"/>
      <c r="P266" s="70"/>
      <c r="Q266" s="70"/>
      <c r="R266" s="70"/>
    </row>
    <row r="267" spans="1:18" s="538" customFormat="1" x14ac:dyDescent="0.25">
      <c r="A267" s="70"/>
      <c r="B267" s="70"/>
      <c r="C267" s="70"/>
      <c r="D267" s="70"/>
      <c r="E267" s="70"/>
      <c r="F267" s="539"/>
      <c r="G267" s="71"/>
      <c r="H267" s="70"/>
      <c r="I267" s="70"/>
      <c r="J267" s="70"/>
      <c r="K267" s="70"/>
      <c r="L267" s="70"/>
      <c r="M267" s="70"/>
      <c r="N267" s="70"/>
      <c r="O267" s="70"/>
      <c r="P267" s="70"/>
      <c r="Q267" s="70"/>
      <c r="R267" s="70"/>
    </row>
    <row r="268" spans="1:18" s="538" customFormat="1" x14ac:dyDescent="0.25">
      <c r="A268" s="70"/>
      <c r="B268" s="70"/>
      <c r="C268" s="70"/>
      <c r="D268" s="70"/>
      <c r="E268" s="70"/>
      <c r="F268" s="539"/>
      <c r="G268" s="71"/>
      <c r="H268" s="70"/>
      <c r="I268" s="70"/>
      <c r="J268" s="70"/>
      <c r="K268" s="70"/>
      <c r="L268" s="70"/>
      <c r="M268" s="70"/>
      <c r="N268" s="70"/>
      <c r="O268" s="70"/>
      <c r="P268" s="70"/>
      <c r="Q268" s="70"/>
      <c r="R268" s="70"/>
    </row>
    <row r="269" spans="1:18" s="538" customFormat="1" x14ac:dyDescent="0.25">
      <c r="A269" s="70"/>
      <c r="B269" s="70"/>
      <c r="C269" s="70"/>
      <c r="D269" s="70"/>
      <c r="E269" s="70"/>
      <c r="F269" s="539"/>
      <c r="G269" s="71"/>
      <c r="H269" s="70"/>
      <c r="I269" s="70"/>
      <c r="J269" s="70"/>
      <c r="K269" s="70"/>
      <c r="L269" s="70"/>
      <c r="M269" s="70"/>
      <c r="N269" s="70"/>
      <c r="O269" s="70"/>
      <c r="P269" s="70"/>
      <c r="Q269" s="70"/>
      <c r="R269" s="70"/>
    </row>
    <row r="270" spans="1:18" s="538" customFormat="1" x14ac:dyDescent="0.25">
      <c r="A270" s="70"/>
      <c r="B270" s="70"/>
      <c r="C270" s="70"/>
      <c r="D270" s="70"/>
      <c r="E270" s="70"/>
      <c r="F270" s="539"/>
      <c r="G270" s="71"/>
      <c r="H270" s="70"/>
      <c r="I270" s="70"/>
      <c r="J270" s="70"/>
      <c r="K270" s="70"/>
      <c r="L270" s="70"/>
      <c r="M270" s="70"/>
      <c r="N270" s="70"/>
      <c r="O270" s="70"/>
      <c r="P270" s="70"/>
      <c r="Q270" s="70"/>
      <c r="R270" s="70"/>
    </row>
    <row r="271" spans="1:18" s="538" customFormat="1" x14ac:dyDescent="0.25">
      <c r="A271" s="70"/>
      <c r="B271" s="70"/>
      <c r="C271" s="70"/>
      <c r="D271" s="70"/>
      <c r="E271" s="70"/>
      <c r="F271" s="539"/>
      <c r="G271" s="71"/>
      <c r="H271" s="70"/>
      <c r="I271" s="70"/>
      <c r="J271" s="70"/>
      <c r="K271" s="70"/>
      <c r="L271" s="70"/>
      <c r="M271" s="70"/>
      <c r="N271" s="70"/>
      <c r="O271" s="70"/>
      <c r="P271" s="70"/>
      <c r="Q271" s="70"/>
      <c r="R271" s="70"/>
    </row>
    <row r="272" spans="1:18" s="538" customFormat="1" x14ac:dyDescent="0.25">
      <c r="A272" s="70"/>
      <c r="B272" s="70"/>
      <c r="C272" s="70"/>
      <c r="D272" s="70"/>
      <c r="E272" s="70"/>
      <c r="F272" s="539"/>
      <c r="G272" s="71"/>
      <c r="H272" s="70"/>
      <c r="I272" s="70"/>
      <c r="J272" s="70"/>
      <c r="K272" s="70"/>
      <c r="L272" s="70"/>
      <c r="M272" s="70"/>
      <c r="N272" s="70"/>
      <c r="O272" s="70"/>
      <c r="P272" s="70"/>
      <c r="Q272" s="70"/>
      <c r="R272" s="70"/>
    </row>
    <row r="273" spans="1:18" s="538" customFormat="1" x14ac:dyDescent="0.25">
      <c r="A273" s="70"/>
      <c r="B273" s="70"/>
      <c r="C273" s="70"/>
      <c r="D273" s="70"/>
      <c r="E273" s="70"/>
      <c r="F273" s="539"/>
      <c r="G273" s="71"/>
      <c r="H273" s="70"/>
      <c r="I273" s="70"/>
      <c r="J273" s="70"/>
      <c r="K273" s="70"/>
      <c r="L273" s="70"/>
      <c r="M273" s="70"/>
      <c r="N273" s="70"/>
      <c r="O273" s="70"/>
      <c r="P273" s="70"/>
      <c r="Q273" s="70"/>
      <c r="R273" s="70"/>
    </row>
    <row r="274" spans="1:18" s="538" customFormat="1" x14ac:dyDescent="0.25">
      <c r="A274" s="70"/>
      <c r="B274" s="70"/>
      <c r="C274" s="70"/>
      <c r="D274" s="70"/>
      <c r="E274" s="70"/>
      <c r="F274" s="539"/>
      <c r="G274" s="71"/>
      <c r="H274" s="70"/>
      <c r="I274" s="70"/>
      <c r="J274" s="70"/>
      <c r="K274" s="70"/>
      <c r="L274" s="70"/>
      <c r="M274" s="70"/>
      <c r="N274" s="70"/>
      <c r="O274" s="70"/>
      <c r="P274" s="70"/>
      <c r="Q274" s="70"/>
      <c r="R274" s="70"/>
    </row>
    <row r="275" spans="1:18" s="538" customFormat="1" x14ac:dyDescent="0.25">
      <c r="A275" s="70"/>
      <c r="B275" s="70"/>
      <c r="C275" s="70"/>
      <c r="D275" s="70"/>
      <c r="E275" s="70"/>
      <c r="F275" s="539"/>
      <c r="G275" s="71"/>
      <c r="H275" s="70"/>
      <c r="I275" s="70"/>
      <c r="J275" s="70"/>
      <c r="K275" s="70"/>
      <c r="L275" s="70"/>
      <c r="M275" s="70"/>
      <c r="N275" s="70"/>
      <c r="O275" s="70"/>
      <c r="P275" s="70"/>
      <c r="Q275" s="70"/>
      <c r="R275" s="70"/>
    </row>
    <row r="276" spans="1:18" s="538" customFormat="1" x14ac:dyDescent="0.25">
      <c r="A276" s="70"/>
      <c r="B276" s="70"/>
      <c r="C276" s="70"/>
      <c r="D276" s="70"/>
      <c r="E276" s="70"/>
      <c r="F276" s="539"/>
      <c r="G276" s="71"/>
      <c r="H276" s="70"/>
      <c r="I276" s="70"/>
      <c r="J276" s="70"/>
      <c r="K276" s="70"/>
      <c r="L276" s="70"/>
      <c r="M276" s="70"/>
      <c r="N276" s="70"/>
      <c r="O276" s="70"/>
      <c r="P276" s="70"/>
      <c r="Q276" s="70"/>
      <c r="R276" s="70"/>
    </row>
    <row r="277" spans="1:18" s="538" customFormat="1" x14ac:dyDescent="0.25">
      <c r="A277" s="70"/>
      <c r="B277" s="70"/>
      <c r="C277" s="70"/>
      <c r="D277" s="70"/>
      <c r="E277" s="70"/>
      <c r="F277" s="539"/>
      <c r="G277" s="71"/>
      <c r="H277" s="70"/>
      <c r="I277" s="70"/>
      <c r="J277" s="70"/>
      <c r="K277" s="70"/>
      <c r="L277" s="70"/>
      <c r="M277" s="70"/>
      <c r="N277" s="70"/>
      <c r="O277" s="70"/>
      <c r="P277" s="70"/>
      <c r="Q277" s="70"/>
      <c r="R277" s="70"/>
    </row>
    <row r="278" spans="1:18" s="538" customFormat="1" x14ac:dyDescent="0.25">
      <c r="A278" s="70"/>
      <c r="B278" s="70"/>
      <c r="C278" s="70"/>
      <c r="D278" s="70"/>
      <c r="E278" s="70"/>
      <c r="F278" s="539"/>
      <c r="G278" s="71"/>
      <c r="H278" s="70"/>
      <c r="I278" s="70"/>
      <c r="J278" s="70"/>
      <c r="K278" s="70"/>
      <c r="L278" s="70"/>
      <c r="M278" s="70"/>
      <c r="N278" s="70"/>
      <c r="O278" s="70"/>
      <c r="P278" s="70"/>
      <c r="Q278" s="70"/>
      <c r="R278" s="70"/>
    </row>
    <row r="279" spans="1:18" s="538" customFormat="1" x14ac:dyDescent="0.25">
      <c r="A279" s="70"/>
      <c r="B279" s="70"/>
      <c r="C279" s="70"/>
      <c r="D279" s="70"/>
      <c r="E279" s="70"/>
      <c r="F279" s="539"/>
      <c r="G279" s="71"/>
      <c r="H279" s="70"/>
      <c r="I279" s="70"/>
      <c r="J279" s="70"/>
      <c r="K279" s="70"/>
      <c r="L279" s="70"/>
      <c r="M279" s="70"/>
      <c r="N279" s="70"/>
      <c r="O279" s="70"/>
      <c r="P279" s="70"/>
      <c r="Q279" s="70"/>
      <c r="R279" s="70"/>
    </row>
    <row r="280" spans="1:18" s="538" customFormat="1" x14ac:dyDescent="0.25">
      <c r="A280" s="70"/>
      <c r="B280" s="70"/>
      <c r="C280" s="70"/>
      <c r="D280" s="70"/>
      <c r="E280" s="70"/>
      <c r="F280" s="539"/>
      <c r="G280" s="71"/>
      <c r="H280" s="70"/>
      <c r="I280" s="70"/>
      <c r="J280" s="70"/>
      <c r="K280" s="70"/>
      <c r="L280" s="70"/>
      <c r="M280" s="70"/>
      <c r="N280" s="70"/>
      <c r="O280" s="70"/>
      <c r="P280" s="70"/>
      <c r="Q280" s="70"/>
      <c r="R280" s="70"/>
    </row>
    <row r="281" spans="1:18" s="538" customFormat="1" x14ac:dyDescent="0.25">
      <c r="A281" s="70"/>
      <c r="B281" s="70"/>
      <c r="C281" s="70"/>
      <c r="D281" s="70"/>
      <c r="E281" s="70"/>
      <c r="F281" s="539"/>
      <c r="G281" s="71"/>
      <c r="H281" s="70"/>
      <c r="I281" s="70"/>
      <c r="J281" s="70"/>
      <c r="K281" s="70"/>
      <c r="L281" s="70"/>
      <c r="M281" s="70"/>
      <c r="N281" s="70"/>
      <c r="O281" s="70"/>
      <c r="P281" s="70"/>
      <c r="Q281" s="70"/>
      <c r="R281" s="70"/>
    </row>
    <row r="282" spans="1:18" s="538" customFormat="1" x14ac:dyDescent="0.25">
      <c r="A282" s="70"/>
      <c r="B282" s="70"/>
      <c r="C282" s="70"/>
      <c r="D282" s="70"/>
      <c r="E282" s="70"/>
      <c r="F282" s="539"/>
      <c r="G282" s="71"/>
      <c r="H282" s="70"/>
      <c r="I282" s="70"/>
      <c r="J282" s="70"/>
      <c r="K282" s="70"/>
      <c r="L282" s="70"/>
      <c r="M282" s="70"/>
      <c r="N282" s="70"/>
      <c r="O282" s="70"/>
      <c r="P282" s="70"/>
      <c r="Q282" s="70"/>
      <c r="R282" s="70"/>
    </row>
    <row r="283" spans="1:18" s="538" customFormat="1" x14ac:dyDescent="0.25">
      <c r="A283" s="70"/>
      <c r="B283" s="70"/>
      <c r="C283" s="70"/>
      <c r="D283" s="70"/>
      <c r="E283" s="70"/>
      <c r="F283" s="539"/>
      <c r="G283" s="71"/>
      <c r="H283" s="70"/>
      <c r="I283" s="70"/>
      <c r="J283" s="70"/>
      <c r="K283" s="70"/>
      <c r="L283" s="70"/>
      <c r="M283" s="70"/>
      <c r="N283" s="70"/>
      <c r="O283" s="70"/>
      <c r="P283" s="70"/>
      <c r="Q283" s="70"/>
      <c r="R283" s="70"/>
    </row>
    <row r="284" spans="1:18" s="538" customFormat="1" x14ac:dyDescent="0.25">
      <c r="A284" s="70"/>
      <c r="B284" s="70"/>
      <c r="C284" s="70"/>
      <c r="D284" s="70"/>
      <c r="E284" s="70"/>
      <c r="F284" s="539"/>
      <c r="G284" s="71"/>
      <c r="H284" s="70"/>
      <c r="I284" s="70"/>
      <c r="J284" s="70"/>
      <c r="K284" s="70"/>
      <c r="L284" s="70"/>
      <c r="M284" s="70"/>
      <c r="N284" s="70"/>
      <c r="O284" s="70"/>
      <c r="P284" s="70"/>
      <c r="Q284" s="70"/>
      <c r="R284" s="70"/>
    </row>
    <row r="285" spans="1:18" s="538" customFormat="1" x14ac:dyDescent="0.25">
      <c r="A285" s="70"/>
      <c r="B285" s="70"/>
      <c r="C285" s="70"/>
      <c r="D285" s="70"/>
      <c r="E285" s="70"/>
      <c r="F285" s="539"/>
      <c r="G285" s="71"/>
      <c r="H285" s="70"/>
      <c r="I285" s="70"/>
      <c r="J285" s="70"/>
      <c r="K285" s="70"/>
      <c r="L285" s="70"/>
      <c r="M285" s="70"/>
      <c r="N285" s="70"/>
      <c r="O285" s="70"/>
      <c r="P285" s="70"/>
      <c r="Q285" s="70"/>
      <c r="R285" s="70"/>
    </row>
    <row r="286" spans="1:18" s="538" customFormat="1" x14ac:dyDescent="0.25">
      <c r="A286" s="70"/>
      <c r="B286" s="70"/>
      <c r="C286" s="70"/>
      <c r="D286" s="70"/>
      <c r="E286" s="70"/>
      <c r="F286" s="539"/>
      <c r="G286" s="71"/>
      <c r="H286" s="70"/>
      <c r="I286" s="70"/>
      <c r="J286" s="70"/>
      <c r="K286" s="70"/>
      <c r="L286" s="70"/>
      <c r="M286" s="70"/>
      <c r="N286" s="70"/>
      <c r="O286" s="70"/>
      <c r="P286" s="70"/>
      <c r="Q286" s="70"/>
      <c r="R286" s="70"/>
    </row>
    <row r="287" spans="1:18" s="538" customFormat="1" x14ac:dyDescent="0.25">
      <c r="A287" s="70"/>
      <c r="B287" s="70"/>
      <c r="C287" s="70"/>
      <c r="D287" s="70"/>
      <c r="E287" s="70"/>
      <c r="F287" s="539"/>
      <c r="G287" s="71"/>
      <c r="H287" s="70"/>
      <c r="I287" s="70"/>
      <c r="J287" s="70"/>
      <c r="K287" s="70"/>
      <c r="L287" s="70"/>
      <c r="M287" s="70"/>
      <c r="N287" s="70"/>
      <c r="O287" s="70"/>
      <c r="P287" s="70"/>
      <c r="Q287" s="70"/>
      <c r="R287" s="70"/>
    </row>
    <row r="288" spans="1:18" s="538" customFormat="1" x14ac:dyDescent="0.25">
      <c r="A288" s="70"/>
      <c r="B288" s="70"/>
      <c r="C288" s="70"/>
      <c r="D288" s="70"/>
      <c r="E288" s="70"/>
      <c r="F288" s="539"/>
      <c r="G288" s="71"/>
      <c r="H288" s="70"/>
      <c r="I288" s="70"/>
      <c r="J288" s="70"/>
      <c r="K288" s="70"/>
      <c r="L288" s="70"/>
      <c r="M288" s="70"/>
      <c r="N288" s="70"/>
      <c r="O288" s="70"/>
      <c r="P288" s="70"/>
      <c r="Q288" s="70"/>
      <c r="R288" s="70"/>
    </row>
    <row r="289" spans="1:18" s="538" customFormat="1" x14ac:dyDescent="0.25">
      <c r="A289" s="70"/>
      <c r="B289" s="70"/>
      <c r="C289" s="70"/>
      <c r="D289" s="70"/>
      <c r="E289" s="70"/>
      <c r="F289" s="539"/>
      <c r="G289" s="71"/>
      <c r="H289" s="70"/>
      <c r="I289" s="70"/>
      <c r="J289" s="70"/>
      <c r="K289" s="70"/>
      <c r="L289" s="70"/>
      <c r="M289" s="70"/>
      <c r="N289" s="70"/>
      <c r="O289" s="70"/>
      <c r="P289" s="70"/>
      <c r="Q289" s="70"/>
      <c r="R289" s="70"/>
    </row>
    <row r="290" spans="1:18" s="538" customFormat="1" x14ac:dyDescent="0.25">
      <c r="A290" s="70"/>
      <c r="B290" s="70"/>
      <c r="C290" s="70"/>
      <c r="D290" s="70"/>
      <c r="E290" s="70"/>
      <c r="F290" s="539"/>
      <c r="G290" s="71"/>
      <c r="H290" s="70"/>
      <c r="I290" s="70"/>
      <c r="J290" s="70"/>
      <c r="K290" s="70"/>
      <c r="L290" s="70"/>
      <c r="M290" s="70"/>
      <c r="N290" s="70"/>
      <c r="O290" s="70"/>
      <c r="P290" s="70"/>
      <c r="Q290" s="70"/>
      <c r="R290" s="70"/>
    </row>
    <row r="291" spans="1:18" s="538" customFormat="1" x14ac:dyDescent="0.25">
      <c r="A291" s="70"/>
      <c r="B291" s="70"/>
      <c r="C291" s="70"/>
      <c r="D291" s="70"/>
      <c r="E291" s="70"/>
      <c r="F291" s="539"/>
      <c r="G291" s="71"/>
      <c r="H291" s="70"/>
      <c r="I291" s="70"/>
      <c r="J291" s="70"/>
      <c r="K291" s="70"/>
      <c r="L291" s="70"/>
      <c r="M291" s="70"/>
      <c r="N291" s="70"/>
      <c r="O291" s="70"/>
      <c r="P291" s="70"/>
      <c r="Q291" s="70"/>
      <c r="R291" s="70"/>
    </row>
    <row r="292" spans="1:18" s="538" customFormat="1" x14ac:dyDescent="0.25">
      <c r="A292" s="70"/>
      <c r="B292" s="70"/>
      <c r="C292" s="70"/>
      <c r="D292" s="70"/>
      <c r="E292" s="70"/>
      <c r="F292" s="539"/>
      <c r="G292" s="71"/>
      <c r="H292" s="70"/>
      <c r="I292" s="70"/>
      <c r="J292" s="70"/>
      <c r="K292" s="70"/>
      <c r="L292" s="70"/>
      <c r="M292" s="70"/>
      <c r="N292" s="70"/>
      <c r="O292" s="70"/>
      <c r="P292" s="70"/>
      <c r="Q292" s="70"/>
      <c r="R292" s="70"/>
    </row>
    <row r="293" spans="1:18" s="538" customFormat="1" x14ac:dyDescent="0.25">
      <c r="A293" s="70"/>
      <c r="B293" s="70"/>
      <c r="C293" s="70"/>
      <c r="D293" s="70"/>
      <c r="E293" s="70"/>
      <c r="F293" s="539"/>
      <c r="G293" s="71"/>
      <c r="H293" s="70"/>
      <c r="I293" s="70"/>
      <c r="J293" s="70"/>
      <c r="K293" s="70"/>
      <c r="L293" s="70"/>
      <c r="M293" s="70"/>
      <c r="N293" s="70"/>
      <c r="O293" s="70"/>
      <c r="P293" s="70"/>
      <c r="Q293" s="70"/>
      <c r="R293" s="70"/>
    </row>
    <row r="294" spans="1:18" s="538" customFormat="1" x14ac:dyDescent="0.25">
      <c r="A294" s="70"/>
      <c r="B294" s="70"/>
      <c r="C294" s="70"/>
      <c r="D294" s="70"/>
      <c r="E294" s="70"/>
      <c r="F294" s="539"/>
      <c r="G294" s="71"/>
      <c r="H294" s="70"/>
      <c r="I294" s="70"/>
      <c r="J294" s="70"/>
      <c r="K294" s="70"/>
      <c r="L294" s="70"/>
      <c r="M294" s="70"/>
      <c r="N294" s="70"/>
      <c r="O294" s="70"/>
      <c r="P294" s="70"/>
      <c r="Q294" s="70"/>
      <c r="R294" s="70"/>
    </row>
    <row r="295" spans="1:18" s="538" customFormat="1" x14ac:dyDescent="0.25">
      <c r="A295" s="70"/>
      <c r="B295" s="70"/>
      <c r="C295" s="70"/>
      <c r="D295" s="70"/>
      <c r="E295" s="70"/>
      <c r="F295" s="539"/>
      <c r="G295" s="71"/>
      <c r="H295" s="70"/>
      <c r="I295" s="70"/>
      <c r="J295" s="70"/>
      <c r="K295" s="70"/>
      <c r="L295" s="70"/>
      <c r="M295" s="70"/>
      <c r="N295" s="70"/>
      <c r="O295" s="70"/>
      <c r="P295" s="70"/>
      <c r="Q295" s="70"/>
      <c r="R295" s="70"/>
    </row>
    <row r="296" spans="1:18" s="538" customFormat="1" x14ac:dyDescent="0.25">
      <c r="A296" s="70"/>
      <c r="B296" s="70"/>
      <c r="C296" s="70"/>
      <c r="D296" s="70"/>
      <c r="E296" s="70"/>
      <c r="F296" s="539"/>
      <c r="G296" s="71"/>
      <c r="H296" s="70"/>
      <c r="I296" s="70"/>
      <c r="J296" s="70"/>
      <c r="K296" s="70"/>
      <c r="L296" s="70"/>
      <c r="M296" s="70"/>
      <c r="N296" s="70"/>
      <c r="O296" s="70"/>
      <c r="P296" s="70"/>
      <c r="Q296" s="70"/>
      <c r="R296" s="70"/>
    </row>
    <row r="297" spans="1:18" s="538" customFormat="1" x14ac:dyDescent="0.25">
      <c r="A297" s="70"/>
      <c r="B297" s="70"/>
      <c r="C297" s="70"/>
      <c r="D297" s="70"/>
      <c r="E297" s="70"/>
      <c r="F297" s="539"/>
      <c r="G297" s="71"/>
      <c r="H297" s="70"/>
      <c r="I297" s="70"/>
      <c r="J297" s="70"/>
      <c r="K297" s="70"/>
      <c r="L297" s="70"/>
      <c r="M297" s="70"/>
      <c r="N297" s="70"/>
      <c r="O297" s="70"/>
      <c r="P297" s="70"/>
      <c r="Q297" s="70"/>
      <c r="R297" s="70"/>
    </row>
    <row r="298" spans="1:18" s="538" customFormat="1" x14ac:dyDescent="0.25">
      <c r="A298" s="70"/>
      <c r="B298" s="70"/>
      <c r="C298" s="70"/>
      <c r="D298" s="70"/>
      <c r="E298" s="70"/>
      <c r="F298" s="539"/>
      <c r="G298" s="71"/>
      <c r="H298" s="70"/>
      <c r="I298" s="70"/>
      <c r="J298" s="70"/>
      <c r="K298" s="70"/>
      <c r="L298" s="70"/>
      <c r="M298" s="70"/>
      <c r="N298" s="70"/>
      <c r="O298" s="70"/>
      <c r="P298" s="70"/>
      <c r="Q298" s="70"/>
      <c r="R298" s="70"/>
    </row>
    <row r="299" spans="1:18" s="538" customFormat="1" x14ac:dyDescent="0.25">
      <c r="A299" s="70"/>
      <c r="B299" s="70"/>
      <c r="C299" s="70"/>
      <c r="D299" s="70"/>
      <c r="E299" s="70"/>
      <c r="F299" s="539"/>
      <c r="G299" s="71"/>
      <c r="H299" s="70"/>
      <c r="I299" s="70"/>
      <c r="J299" s="70"/>
      <c r="K299" s="70"/>
      <c r="L299" s="70"/>
      <c r="M299" s="70"/>
      <c r="N299" s="70"/>
      <c r="O299" s="70"/>
      <c r="P299" s="70"/>
      <c r="Q299" s="70"/>
      <c r="R299" s="70"/>
    </row>
    <row r="300" spans="1:18" s="538" customFormat="1" x14ac:dyDescent="0.25">
      <c r="A300" s="70"/>
      <c r="B300" s="70"/>
      <c r="C300" s="70"/>
      <c r="D300" s="70"/>
      <c r="E300" s="70"/>
      <c r="F300" s="539"/>
      <c r="G300" s="71"/>
      <c r="H300" s="70"/>
      <c r="I300" s="70"/>
      <c r="J300" s="70"/>
      <c r="K300" s="70"/>
      <c r="L300" s="70"/>
      <c r="M300" s="70"/>
      <c r="N300" s="70"/>
      <c r="O300" s="70"/>
      <c r="P300" s="70"/>
      <c r="Q300" s="70"/>
      <c r="R300" s="70"/>
    </row>
    <row r="301" spans="1:18" s="538" customFormat="1" x14ac:dyDescent="0.25">
      <c r="A301" s="70"/>
      <c r="B301" s="70"/>
      <c r="C301" s="70"/>
      <c r="D301" s="70"/>
      <c r="E301" s="70"/>
      <c r="F301" s="539"/>
      <c r="G301" s="71"/>
      <c r="H301" s="70"/>
      <c r="I301" s="70"/>
      <c r="J301" s="70"/>
      <c r="K301" s="70"/>
      <c r="L301" s="70"/>
      <c r="M301" s="70"/>
      <c r="N301" s="70"/>
      <c r="O301" s="70"/>
      <c r="P301" s="70"/>
      <c r="Q301" s="70"/>
      <c r="R301" s="70"/>
    </row>
    <row r="302" spans="1:18" s="538" customFormat="1" x14ac:dyDescent="0.25">
      <c r="A302" s="70"/>
      <c r="B302" s="70"/>
      <c r="C302" s="70"/>
      <c r="D302" s="70"/>
      <c r="E302" s="70"/>
      <c r="F302" s="539"/>
      <c r="G302" s="71"/>
      <c r="H302" s="70"/>
      <c r="I302" s="70"/>
      <c r="J302" s="70"/>
      <c r="K302" s="70"/>
      <c r="L302" s="70"/>
      <c r="M302" s="70"/>
      <c r="N302" s="70"/>
      <c r="O302" s="70"/>
      <c r="P302" s="70"/>
      <c r="Q302" s="70"/>
      <c r="R302" s="70"/>
    </row>
    <row r="303" spans="1:18" s="538" customFormat="1" x14ac:dyDescent="0.25">
      <c r="A303" s="70"/>
      <c r="B303" s="70"/>
      <c r="C303" s="70"/>
      <c r="D303" s="70"/>
      <c r="E303" s="70"/>
      <c r="F303" s="539"/>
      <c r="G303" s="71"/>
      <c r="H303" s="70"/>
      <c r="I303" s="70"/>
      <c r="J303" s="70"/>
      <c r="K303" s="70"/>
      <c r="L303" s="70"/>
      <c r="M303" s="70"/>
      <c r="N303" s="70"/>
      <c r="O303" s="70"/>
      <c r="P303" s="70"/>
      <c r="Q303" s="70"/>
      <c r="R303" s="70"/>
    </row>
    <row r="304" spans="1:18" s="538" customFormat="1" x14ac:dyDescent="0.25">
      <c r="A304" s="70"/>
      <c r="B304" s="70"/>
      <c r="C304" s="70"/>
      <c r="D304" s="70"/>
      <c r="E304" s="70"/>
      <c r="F304" s="539"/>
      <c r="G304" s="71"/>
      <c r="H304" s="70"/>
      <c r="I304" s="70"/>
      <c r="J304" s="70"/>
      <c r="K304" s="70"/>
      <c r="L304" s="70"/>
      <c r="M304" s="70"/>
      <c r="N304" s="70"/>
      <c r="O304" s="70"/>
      <c r="P304" s="70"/>
      <c r="Q304" s="70"/>
      <c r="R304" s="70"/>
    </row>
    <row r="305" spans="1:18" s="538" customFormat="1" x14ac:dyDescent="0.25">
      <c r="A305" s="70"/>
      <c r="B305" s="70"/>
      <c r="C305" s="70"/>
      <c r="D305" s="70"/>
      <c r="E305" s="70"/>
      <c r="F305" s="539"/>
      <c r="G305" s="71"/>
      <c r="H305" s="70"/>
      <c r="I305" s="70"/>
      <c r="J305" s="70"/>
      <c r="K305" s="70"/>
      <c r="L305" s="70"/>
      <c r="M305" s="70"/>
      <c r="N305" s="70"/>
      <c r="O305" s="70"/>
      <c r="P305" s="70"/>
      <c r="Q305" s="70"/>
      <c r="R305" s="70"/>
    </row>
    <row r="306" spans="1:18" s="538" customFormat="1" x14ac:dyDescent="0.25">
      <c r="A306" s="70"/>
      <c r="B306" s="70"/>
      <c r="C306" s="70"/>
      <c r="D306" s="70"/>
      <c r="E306" s="70"/>
      <c r="F306" s="539"/>
      <c r="G306" s="71"/>
      <c r="H306" s="70"/>
      <c r="I306" s="70"/>
      <c r="J306" s="70"/>
      <c r="K306" s="70"/>
      <c r="L306" s="70"/>
      <c r="M306" s="70"/>
      <c r="N306" s="70"/>
      <c r="O306" s="70"/>
      <c r="P306" s="70"/>
      <c r="Q306" s="70"/>
      <c r="R306" s="70"/>
    </row>
    <row r="307" spans="1:18" s="538" customFormat="1" x14ac:dyDescent="0.25">
      <c r="A307" s="70"/>
      <c r="B307" s="70"/>
      <c r="C307" s="70"/>
      <c r="D307" s="70"/>
      <c r="E307" s="70"/>
      <c r="F307" s="539"/>
      <c r="G307" s="71"/>
      <c r="H307" s="70"/>
      <c r="I307" s="70"/>
      <c r="J307" s="70"/>
      <c r="K307" s="70"/>
      <c r="L307" s="70"/>
      <c r="M307" s="70"/>
      <c r="N307" s="70"/>
      <c r="O307" s="70"/>
      <c r="P307" s="70"/>
      <c r="Q307" s="70"/>
      <c r="R307" s="70"/>
    </row>
    <row r="308" spans="1:18" s="538" customFormat="1" x14ac:dyDescent="0.25">
      <c r="A308" s="70"/>
      <c r="B308" s="70"/>
      <c r="C308" s="70"/>
      <c r="D308" s="70"/>
      <c r="E308" s="70"/>
      <c r="F308" s="539"/>
      <c r="G308" s="71"/>
      <c r="H308" s="70"/>
      <c r="I308" s="70"/>
      <c r="J308" s="70"/>
      <c r="K308" s="70"/>
      <c r="L308" s="70"/>
      <c r="M308" s="70"/>
      <c r="N308" s="70"/>
      <c r="O308" s="70"/>
      <c r="P308" s="70"/>
      <c r="Q308" s="70"/>
      <c r="R308" s="70"/>
    </row>
    <row r="309" spans="1:18" s="538" customFormat="1" x14ac:dyDescent="0.25">
      <c r="A309" s="70"/>
      <c r="B309" s="70"/>
      <c r="C309" s="70"/>
      <c r="D309" s="70"/>
      <c r="E309" s="70"/>
      <c r="F309" s="539"/>
      <c r="G309" s="71"/>
      <c r="H309" s="70"/>
      <c r="I309" s="70"/>
      <c r="J309" s="70"/>
      <c r="K309" s="70"/>
      <c r="L309" s="70"/>
      <c r="M309" s="70"/>
      <c r="N309" s="70"/>
      <c r="O309" s="70"/>
      <c r="P309" s="70"/>
      <c r="Q309" s="70"/>
      <c r="R309" s="70"/>
    </row>
    <row r="310" spans="1:18" s="538" customFormat="1" x14ac:dyDescent="0.25">
      <c r="A310" s="70"/>
      <c r="B310" s="70"/>
      <c r="C310" s="70"/>
      <c r="D310" s="70"/>
      <c r="E310" s="70"/>
      <c r="F310" s="539"/>
      <c r="G310" s="71"/>
      <c r="H310" s="70"/>
      <c r="I310" s="70"/>
      <c r="J310" s="70"/>
      <c r="K310" s="70"/>
      <c r="L310" s="70"/>
      <c r="M310" s="70"/>
      <c r="N310" s="70"/>
      <c r="O310" s="70"/>
      <c r="P310" s="70"/>
      <c r="Q310" s="70"/>
      <c r="R310" s="70"/>
    </row>
    <row r="311" spans="1:18" s="538" customFormat="1" x14ac:dyDescent="0.25">
      <c r="A311" s="70"/>
      <c r="B311" s="70"/>
      <c r="C311" s="70"/>
      <c r="D311" s="70"/>
      <c r="E311" s="70"/>
      <c r="F311" s="539"/>
      <c r="G311" s="71"/>
      <c r="H311" s="70"/>
      <c r="I311" s="70"/>
      <c r="J311" s="70"/>
      <c r="K311" s="70"/>
      <c r="L311" s="70"/>
      <c r="M311" s="70"/>
      <c r="N311" s="70"/>
      <c r="O311" s="70"/>
      <c r="P311" s="70"/>
      <c r="Q311" s="70"/>
      <c r="R311" s="70"/>
    </row>
    <row r="312" spans="1:18" s="538" customFormat="1" x14ac:dyDescent="0.25">
      <c r="A312" s="70"/>
      <c r="B312" s="70"/>
      <c r="C312" s="70"/>
      <c r="D312" s="70"/>
      <c r="E312" s="70"/>
      <c r="F312" s="539"/>
      <c r="G312" s="71"/>
      <c r="H312" s="70"/>
      <c r="I312" s="70"/>
      <c r="J312" s="70"/>
      <c r="K312" s="70"/>
      <c r="L312" s="70"/>
      <c r="M312" s="70"/>
      <c r="N312" s="70"/>
      <c r="O312" s="70"/>
      <c r="P312" s="70"/>
      <c r="Q312" s="70"/>
      <c r="R312" s="70"/>
    </row>
    <row r="313" spans="1:18" s="538" customFormat="1" x14ac:dyDescent="0.25">
      <c r="A313" s="70"/>
      <c r="B313" s="70"/>
      <c r="C313" s="70"/>
      <c r="D313" s="70"/>
      <c r="E313" s="70"/>
      <c r="F313" s="539"/>
      <c r="G313" s="71"/>
      <c r="H313" s="70"/>
      <c r="I313" s="70"/>
      <c r="J313" s="70"/>
      <c r="K313" s="70"/>
      <c r="L313" s="70"/>
      <c r="M313" s="70"/>
      <c r="N313" s="70"/>
      <c r="O313" s="70"/>
      <c r="P313" s="70"/>
      <c r="Q313" s="70"/>
      <c r="R313" s="70"/>
    </row>
    <row r="314" spans="1:18" s="538" customFormat="1" x14ac:dyDescent="0.25">
      <c r="A314" s="70"/>
      <c r="B314" s="70"/>
      <c r="C314" s="70"/>
      <c r="D314" s="70"/>
      <c r="E314" s="70"/>
      <c r="F314" s="539"/>
      <c r="G314" s="71"/>
      <c r="H314" s="70"/>
      <c r="I314" s="70"/>
      <c r="J314" s="70"/>
      <c r="K314" s="70"/>
      <c r="L314" s="70"/>
      <c r="M314" s="70"/>
      <c r="N314" s="70"/>
      <c r="O314" s="70"/>
      <c r="P314" s="70"/>
      <c r="Q314" s="70"/>
      <c r="R314" s="70"/>
    </row>
    <row r="315" spans="1:18" s="538" customFormat="1" x14ac:dyDescent="0.25">
      <c r="A315" s="70"/>
      <c r="B315" s="70"/>
      <c r="C315" s="70"/>
      <c r="D315" s="70"/>
      <c r="E315" s="70"/>
      <c r="F315" s="539"/>
      <c r="G315" s="71"/>
      <c r="H315" s="70"/>
      <c r="I315" s="70"/>
      <c r="J315" s="70"/>
      <c r="K315" s="70"/>
      <c r="L315" s="70"/>
      <c r="M315" s="70"/>
      <c r="N315" s="70"/>
      <c r="O315" s="70"/>
      <c r="P315" s="70"/>
      <c r="Q315" s="70"/>
      <c r="R315" s="70"/>
    </row>
    <row r="316" spans="1:18" s="538" customFormat="1" x14ac:dyDescent="0.25">
      <c r="A316" s="70"/>
      <c r="B316" s="70"/>
      <c r="C316" s="70"/>
      <c r="D316" s="70"/>
      <c r="E316" s="70"/>
      <c r="F316" s="539"/>
      <c r="G316" s="71"/>
      <c r="H316" s="70"/>
      <c r="I316" s="70"/>
      <c r="J316" s="70"/>
      <c r="K316" s="70"/>
      <c r="L316" s="70"/>
      <c r="M316" s="70"/>
      <c r="N316" s="70"/>
      <c r="O316" s="70"/>
      <c r="P316" s="70"/>
      <c r="Q316" s="70"/>
      <c r="R316" s="70"/>
    </row>
    <row r="317" spans="1:18" s="538" customFormat="1" x14ac:dyDescent="0.25">
      <c r="A317" s="70"/>
      <c r="B317" s="70"/>
      <c r="C317" s="70"/>
      <c r="D317" s="70"/>
      <c r="E317" s="70"/>
      <c r="F317" s="539"/>
      <c r="G317" s="71"/>
      <c r="H317" s="70"/>
      <c r="I317" s="70"/>
      <c r="J317" s="70"/>
      <c r="K317" s="70"/>
      <c r="L317" s="70"/>
      <c r="M317" s="70"/>
      <c r="N317" s="70"/>
      <c r="O317" s="70"/>
      <c r="P317" s="70"/>
      <c r="Q317" s="70"/>
      <c r="R317" s="70"/>
    </row>
    <row r="318" spans="1:18" s="538" customFormat="1" x14ac:dyDescent="0.25">
      <c r="A318" s="70"/>
      <c r="B318" s="70"/>
      <c r="C318" s="70"/>
      <c r="D318" s="70"/>
      <c r="E318" s="70"/>
      <c r="F318" s="539"/>
      <c r="G318" s="71"/>
      <c r="H318" s="70"/>
      <c r="I318" s="70"/>
      <c r="J318" s="70"/>
      <c r="K318" s="70"/>
      <c r="L318" s="70"/>
      <c r="M318" s="70"/>
      <c r="N318" s="70"/>
      <c r="O318" s="70"/>
      <c r="P318" s="70"/>
      <c r="Q318" s="70"/>
      <c r="R318" s="70"/>
    </row>
    <row r="319" spans="1:18" s="538" customFormat="1" x14ac:dyDescent="0.25">
      <c r="A319" s="70"/>
      <c r="B319" s="70"/>
      <c r="C319" s="70"/>
      <c r="D319" s="70"/>
      <c r="E319" s="70"/>
      <c r="F319" s="539"/>
      <c r="G319" s="71"/>
      <c r="H319" s="70"/>
      <c r="I319" s="70"/>
      <c r="J319" s="70"/>
      <c r="K319" s="70"/>
      <c r="L319" s="70"/>
      <c r="M319" s="70"/>
      <c r="N319" s="70"/>
      <c r="O319" s="70"/>
      <c r="P319" s="70"/>
      <c r="Q319" s="70"/>
      <c r="R319" s="70"/>
    </row>
    <row r="320" spans="1:18" s="538" customFormat="1" x14ac:dyDescent="0.25">
      <c r="A320" s="70"/>
      <c r="B320" s="70"/>
      <c r="C320" s="70"/>
      <c r="D320" s="70"/>
      <c r="E320" s="70"/>
      <c r="F320" s="539"/>
      <c r="G320" s="71"/>
      <c r="H320" s="70"/>
      <c r="I320" s="70"/>
      <c r="J320" s="70"/>
      <c r="K320" s="70"/>
      <c r="L320" s="70"/>
      <c r="M320" s="70"/>
      <c r="N320" s="70"/>
      <c r="O320" s="70"/>
      <c r="P320" s="70"/>
      <c r="Q320" s="70"/>
      <c r="R320" s="70"/>
    </row>
    <row r="321" spans="1:18" s="538" customFormat="1" x14ac:dyDescent="0.25">
      <c r="A321" s="70"/>
      <c r="B321" s="70"/>
      <c r="C321" s="70"/>
      <c r="D321" s="70"/>
      <c r="E321" s="70"/>
      <c r="F321" s="539"/>
      <c r="G321" s="71"/>
      <c r="H321" s="70"/>
      <c r="I321" s="70"/>
      <c r="J321" s="70"/>
      <c r="K321" s="70"/>
      <c r="L321" s="70"/>
      <c r="M321" s="70"/>
      <c r="N321" s="70"/>
      <c r="O321" s="70"/>
      <c r="P321" s="70"/>
      <c r="Q321" s="70"/>
      <c r="R321" s="70"/>
    </row>
    <row r="322" spans="1:18" s="538" customFormat="1" x14ac:dyDescent="0.25">
      <c r="A322" s="70"/>
      <c r="B322" s="70"/>
      <c r="C322" s="70"/>
      <c r="D322" s="70"/>
      <c r="E322" s="70"/>
      <c r="F322" s="539"/>
      <c r="G322" s="71"/>
      <c r="H322" s="70"/>
      <c r="I322" s="70"/>
      <c r="J322" s="70"/>
      <c r="K322" s="70"/>
      <c r="L322" s="70"/>
      <c r="M322" s="70"/>
      <c r="N322" s="70"/>
      <c r="O322" s="70"/>
      <c r="P322" s="70"/>
      <c r="Q322" s="70"/>
      <c r="R322" s="70"/>
    </row>
    <row r="323" spans="1:18" s="538" customFormat="1" x14ac:dyDescent="0.25">
      <c r="A323" s="70"/>
      <c r="B323" s="70"/>
      <c r="C323" s="70"/>
      <c r="D323" s="70"/>
      <c r="E323" s="70"/>
      <c r="F323" s="539"/>
      <c r="G323" s="71"/>
      <c r="H323" s="70"/>
      <c r="I323" s="70"/>
      <c r="J323" s="70"/>
      <c r="K323" s="70"/>
      <c r="L323" s="70"/>
      <c r="M323" s="70"/>
      <c r="N323" s="70"/>
      <c r="O323" s="70"/>
      <c r="P323" s="70"/>
      <c r="Q323" s="70"/>
      <c r="R323" s="70"/>
    </row>
    <row r="324" spans="1:18" s="538" customFormat="1" x14ac:dyDescent="0.25">
      <c r="A324" s="70"/>
      <c r="B324" s="70"/>
      <c r="C324" s="70"/>
      <c r="D324" s="70"/>
      <c r="E324" s="70"/>
      <c r="F324" s="539"/>
      <c r="G324" s="71"/>
      <c r="H324" s="70"/>
      <c r="I324" s="70"/>
      <c r="J324" s="70"/>
      <c r="K324" s="70"/>
      <c r="L324" s="70"/>
      <c r="M324" s="70"/>
      <c r="N324" s="70"/>
      <c r="O324" s="70"/>
      <c r="P324" s="70"/>
      <c r="Q324" s="70"/>
      <c r="R324" s="70"/>
    </row>
    <row r="325" spans="1:18" s="538" customFormat="1" x14ac:dyDescent="0.25">
      <c r="A325" s="70"/>
      <c r="B325" s="70"/>
      <c r="C325" s="70"/>
      <c r="D325" s="70"/>
      <c r="E325" s="70"/>
      <c r="F325" s="539"/>
      <c r="G325" s="71"/>
      <c r="H325" s="70"/>
      <c r="I325" s="70"/>
      <c r="J325" s="70"/>
      <c r="K325" s="70"/>
      <c r="L325" s="70"/>
      <c r="M325" s="70"/>
      <c r="N325" s="70"/>
      <c r="O325" s="70"/>
      <c r="P325" s="70"/>
      <c r="Q325" s="70"/>
      <c r="R325" s="70"/>
    </row>
    <row r="326" spans="1:18" s="538" customFormat="1" x14ac:dyDescent="0.25">
      <c r="A326" s="70"/>
      <c r="B326" s="70"/>
      <c r="C326" s="70"/>
      <c r="D326" s="70"/>
      <c r="E326" s="70"/>
      <c r="F326" s="539"/>
      <c r="G326" s="71"/>
      <c r="H326" s="70"/>
      <c r="I326" s="70"/>
      <c r="J326" s="70"/>
      <c r="K326" s="70"/>
      <c r="L326" s="70"/>
      <c r="M326" s="70"/>
      <c r="N326" s="70"/>
      <c r="O326" s="70"/>
      <c r="P326" s="70"/>
      <c r="Q326" s="70"/>
      <c r="R326" s="70"/>
    </row>
    <row r="327" spans="1:18" s="538" customFormat="1" x14ac:dyDescent="0.25">
      <c r="A327" s="70"/>
      <c r="B327" s="70"/>
      <c r="C327" s="70"/>
      <c r="D327" s="70"/>
      <c r="E327" s="70"/>
      <c r="F327" s="539"/>
      <c r="G327" s="71"/>
      <c r="H327" s="70"/>
      <c r="I327" s="70"/>
      <c r="J327" s="70"/>
      <c r="K327" s="70"/>
      <c r="L327" s="70"/>
      <c r="M327" s="70"/>
      <c r="N327" s="70"/>
      <c r="O327" s="70"/>
      <c r="P327" s="70"/>
      <c r="Q327" s="70"/>
      <c r="R327" s="70"/>
    </row>
    <row r="328" spans="1:18" s="538" customFormat="1" x14ac:dyDescent="0.25">
      <c r="A328" s="70"/>
      <c r="B328" s="70"/>
      <c r="C328" s="70"/>
      <c r="D328" s="70"/>
      <c r="E328" s="70"/>
      <c r="F328" s="539"/>
      <c r="G328" s="71"/>
      <c r="H328" s="70"/>
      <c r="I328" s="70"/>
      <c r="J328" s="70"/>
      <c r="K328" s="70"/>
      <c r="L328" s="70"/>
      <c r="M328" s="70"/>
      <c r="N328" s="70"/>
      <c r="O328" s="70"/>
      <c r="P328" s="70"/>
      <c r="Q328" s="70"/>
      <c r="R328" s="70"/>
    </row>
    <row r="329" spans="1:18" s="538" customFormat="1" x14ac:dyDescent="0.25">
      <c r="A329" s="70"/>
      <c r="B329" s="70"/>
      <c r="C329" s="70"/>
      <c r="D329" s="70"/>
      <c r="E329" s="70"/>
      <c r="F329" s="539"/>
      <c r="G329" s="71"/>
      <c r="H329" s="70"/>
      <c r="I329" s="70"/>
      <c r="J329" s="70"/>
      <c r="K329" s="70"/>
      <c r="L329" s="70"/>
      <c r="M329" s="70"/>
      <c r="N329" s="70"/>
      <c r="O329" s="70"/>
      <c r="P329" s="70"/>
      <c r="Q329" s="70"/>
      <c r="R329" s="70"/>
    </row>
    <row r="330" spans="1:18" s="538" customFormat="1" x14ac:dyDescent="0.25">
      <c r="A330" s="70"/>
      <c r="B330" s="70"/>
      <c r="C330" s="70"/>
      <c r="D330" s="70"/>
      <c r="E330" s="70"/>
      <c r="F330" s="539"/>
      <c r="G330" s="71"/>
      <c r="H330" s="70"/>
      <c r="I330" s="70"/>
      <c r="J330" s="70"/>
      <c r="K330" s="70"/>
      <c r="L330" s="70"/>
      <c r="M330" s="70"/>
      <c r="N330" s="70"/>
      <c r="O330" s="70"/>
      <c r="P330" s="70"/>
      <c r="Q330" s="70"/>
      <c r="R330" s="70"/>
    </row>
    <row r="331" spans="1:18" s="538" customFormat="1" x14ac:dyDescent="0.25">
      <c r="A331" s="70"/>
      <c r="B331" s="70"/>
      <c r="C331" s="70"/>
      <c r="D331" s="70"/>
      <c r="E331" s="70"/>
      <c r="F331" s="539"/>
      <c r="G331" s="71"/>
      <c r="H331" s="70"/>
      <c r="I331" s="70"/>
      <c r="J331" s="70"/>
      <c r="K331" s="70"/>
      <c r="L331" s="70"/>
      <c r="M331" s="70"/>
      <c r="N331" s="70"/>
      <c r="O331" s="70"/>
      <c r="P331" s="70"/>
      <c r="Q331" s="70"/>
      <c r="R331" s="70"/>
    </row>
    <row r="332" spans="1:18" s="538" customFormat="1" x14ac:dyDescent="0.25">
      <c r="A332" s="70"/>
      <c r="B332" s="70"/>
      <c r="C332" s="70"/>
      <c r="D332" s="70"/>
      <c r="E332" s="70"/>
      <c r="F332" s="539"/>
      <c r="G332" s="71"/>
      <c r="H332" s="70"/>
      <c r="I332" s="70"/>
      <c r="J332" s="70"/>
      <c r="K332" s="70"/>
      <c r="L332" s="70"/>
      <c r="M332" s="70"/>
      <c r="N332" s="70"/>
      <c r="O332" s="70"/>
      <c r="P332" s="70"/>
      <c r="Q332" s="70"/>
      <c r="R332" s="70"/>
    </row>
    <row r="333" spans="1:18" s="538" customFormat="1" x14ac:dyDescent="0.25">
      <c r="A333" s="70"/>
      <c r="B333" s="70"/>
      <c r="C333" s="70"/>
      <c r="D333" s="70"/>
      <c r="E333" s="70"/>
      <c r="F333" s="539"/>
      <c r="G333" s="71"/>
      <c r="H333" s="70"/>
      <c r="I333" s="70"/>
      <c r="J333" s="70"/>
      <c r="K333" s="70"/>
      <c r="L333" s="70"/>
      <c r="M333" s="70"/>
      <c r="N333" s="70"/>
      <c r="O333" s="70"/>
      <c r="P333" s="70"/>
      <c r="Q333" s="70"/>
      <c r="R333" s="70"/>
    </row>
    <row r="334" spans="1:18" s="538" customFormat="1" x14ac:dyDescent="0.25">
      <c r="A334" s="70"/>
      <c r="B334" s="70"/>
      <c r="C334" s="70"/>
      <c r="D334" s="70"/>
      <c r="E334" s="70"/>
      <c r="F334" s="539"/>
      <c r="G334" s="71"/>
      <c r="H334" s="70"/>
      <c r="I334" s="70"/>
      <c r="J334" s="70"/>
      <c r="K334" s="70"/>
      <c r="L334" s="70"/>
      <c r="M334" s="70"/>
      <c r="N334" s="70"/>
      <c r="O334" s="70"/>
      <c r="P334" s="70"/>
      <c r="Q334" s="70"/>
      <c r="R334" s="70"/>
    </row>
    <row r="335" spans="1:18" s="538" customFormat="1" x14ac:dyDescent="0.25">
      <c r="A335" s="70"/>
      <c r="B335" s="70"/>
      <c r="C335" s="70"/>
      <c r="D335" s="70"/>
      <c r="E335" s="70"/>
      <c r="F335" s="539"/>
      <c r="G335" s="71"/>
      <c r="H335" s="70"/>
      <c r="I335" s="70"/>
      <c r="J335" s="70"/>
      <c r="K335" s="70"/>
      <c r="L335" s="70"/>
      <c r="M335" s="70"/>
      <c r="N335" s="70"/>
      <c r="O335" s="70"/>
      <c r="P335" s="70"/>
      <c r="Q335" s="70"/>
      <c r="R335" s="70"/>
    </row>
    <row r="336" spans="1:18" s="538" customFormat="1" x14ac:dyDescent="0.25">
      <c r="A336" s="70"/>
      <c r="B336" s="70"/>
      <c r="C336" s="70"/>
      <c r="D336" s="70"/>
      <c r="E336" s="70"/>
      <c r="F336" s="539"/>
      <c r="G336" s="71"/>
      <c r="H336" s="70"/>
      <c r="I336" s="70"/>
      <c r="J336" s="70"/>
      <c r="K336" s="70"/>
      <c r="L336" s="70"/>
      <c r="M336" s="70"/>
      <c r="N336" s="70"/>
      <c r="O336" s="70"/>
      <c r="P336" s="70"/>
      <c r="Q336" s="70"/>
      <c r="R336" s="70"/>
    </row>
    <row r="337" spans="1:18" s="538" customFormat="1" x14ac:dyDescent="0.25">
      <c r="A337" s="70"/>
      <c r="B337" s="70"/>
      <c r="C337" s="70"/>
      <c r="D337" s="70"/>
      <c r="E337" s="70"/>
      <c r="F337" s="539"/>
      <c r="G337" s="71"/>
      <c r="H337" s="70"/>
      <c r="I337" s="70"/>
      <c r="J337" s="70"/>
      <c r="K337" s="70"/>
      <c r="L337" s="70"/>
      <c r="M337" s="70"/>
      <c r="N337" s="70"/>
      <c r="O337" s="70"/>
      <c r="P337" s="70"/>
      <c r="Q337" s="70"/>
      <c r="R337" s="70"/>
    </row>
    <row r="338" spans="1:18" s="538" customFormat="1" x14ac:dyDescent="0.25">
      <c r="A338" s="70"/>
      <c r="B338" s="70"/>
      <c r="C338" s="70"/>
      <c r="D338" s="70"/>
      <c r="E338" s="70"/>
      <c r="F338" s="539"/>
      <c r="G338" s="71"/>
      <c r="H338" s="70"/>
      <c r="I338" s="70"/>
      <c r="J338" s="70"/>
      <c r="K338" s="70"/>
      <c r="L338" s="70"/>
      <c r="M338" s="70"/>
      <c r="N338" s="70"/>
      <c r="O338" s="70"/>
      <c r="P338" s="70"/>
      <c r="Q338" s="70"/>
      <c r="R338" s="70"/>
    </row>
    <row r="339" spans="1:18" s="538" customFormat="1" x14ac:dyDescent="0.25">
      <c r="A339" s="70"/>
      <c r="B339" s="70"/>
      <c r="C339" s="70"/>
      <c r="D339" s="70"/>
      <c r="E339" s="70"/>
      <c r="F339" s="539"/>
      <c r="G339" s="71"/>
      <c r="H339" s="70"/>
      <c r="I339" s="70"/>
      <c r="J339" s="70"/>
      <c r="K339" s="70"/>
      <c r="L339" s="70"/>
      <c r="M339" s="70"/>
      <c r="N339" s="70"/>
      <c r="O339" s="70"/>
      <c r="P339" s="70"/>
      <c r="Q339" s="70"/>
      <c r="R339" s="70"/>
    </row>
    <row r="340" spans="1:18" s="538" customFormat="1" x14ac:dyDescent="0.25">
      <c r="A340" s="70"/>
      <c r="B340" s="70"/>
      <c r="C340" s="70"/>
      <c r="D340" s="70"/>
      <c r="E340" s="70"/>
      <c r="F340" s="539"/>
      <c r="G340" s="71"/>
      <c r="H340" s="70"/>
      <c r="I340" s="70"/>
      <c r="J340" s="70"/>
      <c r="K340" s="70"/>
      <c r="L340" s="70"/>
      <c r="M340" s="70"/>
      <c r="N340" s="70"/>
      <c r="O340" s="70"/>
      <c r="P340" s="70"/>
      <c r="Q340" s="70"/>
      <c r="R340" s="70"/>
    </row>
    <row r="341" spans="1:18" s="538" customFormat="1" x14ac:dyDescent="0.25">
      <c r="A341" s="70"/>
      <c r="B341" s="70"/>
      <c r="C341" s="70"/>
      <c r="D341" s="70"/>
      <c r="E341" s="70"/>
      <c r="F341" s="539"/>
      <c r="G341" s="71"/>
      <c r="H341" s="70"/>
      <c r="I341" s="70"/>
      <c r="J341" s="70"/>
      <c r="K341" s="70"/>
      <c r="L341" s="70"/>
      <c r="M341" s="70"/>
      <c r="N341" s="70"/>
      <c r="O341" s="70"/>
      <c r="P341" s="70"/>
      <c r="Q341" s="70"/>
      <c r="R341" s="70"/>
    </row>
    <row r="342" spans="1:18" s="538" customFormat="1" x14ac:dyDescent="0.25">
      <c r="A342" s="70"/>
      <c r="B342" s="70"/>
      <c r="C342" s="70"/>
      <c r="D342" s="70"/>
      <c r="E342" s="70"/>
      <c r="F342" s="539"/>
      <c r="G342" s="71"/>
      <c r="H342" s="70"/>
      <c r="I342" s="70"/>
      <c r="J342" s="70"/>
      <c r="K342" s="70"/>
      <c r="L342" s="70"/>
      <c r="M342" s="70"/>
      <c r="N342" s="70"/>
      <c r="O342" s="70"/>
      <c r="P342" s="70"/>
      <c r="Q342" s="70"/>
      <c r="R342" s="70"/>
    </row>
    <row r="343" spans="1:18" s="538" customFormat="1" x14ac:dyDescent="0.25">
      <c r="A343" s="70"/>
      <c r="B343" s="70"/>
      <c r="C343" s="70"/>
      <c r="D343" s="70"/>
      <c r="E343" s="70"/>
      <c r="F343" s="539"/>
      <c r="G343" s="71"/>
      <c r="H343" s="70"/>
      <c r="I343" s="70"/>
      <c r="J343" s="70"/>
      <c r="K343" s="70"/>
      <c r="L343" s="70"/>
      <c r="M343" s="70"/>
      <c r="N343" s="70"/>
      <c r="O343" s="70"/>
      <c r="P343" s="70"/>
      <c r="Q343" s="70"/>
      <c r="R343" s="70"/>
    </row>
    <row r="344" spans="1:18" s="538" customFormat="1" x14ac:dyDescent="0.25">
      <c r="A344" s="70"/>
      <c r="B344" s="70"/>
      <c r="C344" s="70"/>
      <c r="D344" s="70"/>
      <c r="E344" s="70"/>
      <c r="F344" s="539"/>
      <c r="G344" s="71"/>
      <c r="H344" s="70"/>
      <c r="I344" s="70"/>
      <c r="J344" s="70"/>
      <c r="K344" s="70"/>
      <c r="L344" s="70"/>
      <c r="M344" s="70"/>
      <c r="N344" s="70"/>
      <c r="O344" s="70"/>
      <c r="P344" s="70"/>
      <c r="Q344" s="70"/>
      <c r="R344" s="70"/>
    </row>
    <row r="345" spans="1:18" s="538" customFormat="1" x14ac:dyDescent="0.25">
      <c r="A345" s="70"/>
      <c r="B345" s="70"/>
      <c r="C345" s="70"/>
      <c r="D345" s="70"/>
      <c r="E345" s="70"/>
      <c r="F345" s="539"/>
      <c r="G345" s="71"/>
      <c r="H345" s="70"/>
      <c r="I345" s="70"/>
      <c r="J345" s="70"/>
      <c r="K345" s="70"/>
      <c r="L345" s="70"/>
      <c r="M345" s="70"/>
      <c r="N345" s="70"/>
      <c r="O345" s="70"/>
      <c r="P345" s="70"/>
      <c r="Q345" s="70"/>
      <c r="R345" s="70"/>
    </row>
    <row r="346" spans="1:18" s="538" customFormat="1" x14ac:dyDescent="0.25">
      <c r="A346" s="70"/>
      <c r="B346" s="70"/>
      <c r="C346" s="70"/>
      <c r="D346" s="70"/>
      <c r="E346" s="70"/>
      <c r="F346" s="539"/>
      <c r="G346" s="71"/>
      <c r="H346" s="70"/>
      <c r="I346" s="70"/>
      <c r="J346" s="70"/>
      <c r="K346" s="70"/>
      <c r="L346" s="70"/>
      <c r="M346" s="70"/>
      <c r="N346" s="70"/>
      <c r="O346" s="70"/>
      <c r="P346" s="70"/>
      <c r="Q346" s="70"/>
      <c r="R346" s="70"/>
    </row>
    <row r="347" spans="1:18" s="538" customFormat="1" x14ac:dyDescent="0.25">
      <c r="A347" s="70"/>
      <c r="B347" s="70"/>
      <c r="C347" s="70"/>
      <c r="D347" s="70"/>
      <c r="E347" s="70"/>
      <c r="F347" s="539"/>
      <c r="G347" s="71"/>
      <c r="H347" s="70"/>
      <c r="I347" s="70"/>
      <c r="J347" s="70"/>
      <c r="K347" s="70"/>
      <c r="L347" s="70"/>
      <c r="M347" s="70"/>
      <c r="N347" s="70"/>
      <c r="O347" s="70"/>
      <c r="P347" s="70"/>
      <c r="Q347" s="70"/>
      <c r="R347" s="70"/>
    </row>
    <row r="348" spans="1:18" s="538" customFormat="1" x14ac:dyDescent="0.25">
      <c r="A348" s="70"/>
      <c r="B348" s="70"/>
      <c r="C348" s="70"/>
      <c r="D348" s="70"/>
      <c r="E348" s="70"/>
      <c r="F348" s="539"/>
      <c r="G348" s="71"/>
      <c r="H348" s="70"/>
      <c r="I348" s="70"/>
      <c r="J348" s="70"/>
      <c r="K348" s="70"/>
      <c r="L348" s="70"/>
      <c r="M348" s="70"/>
      <c r="N348" s="70"/>
      <c r="O348" s="70"/>
      <c r="P348" s="70"/>
      <c r="Q348" s="70"/>
      <c r="R348" s="70"/>
    </row>
    <row r="349" spans="1:18" s="538" customFormat="1" x14ac:dyDescent="0.25">
      <c r="A349" s="70"/>
      <c r="B349" s="70"/>
      <c r="C349" s="70"/>
      <c r="D349" s="70"/>
      <c r="E349" s="70"/>
      <c r="F349" s="539"/>
      <c r="G349" s="71"/>
      <c r="H349" s="70"/>
      <c r="I349" s="70"/>
      <c r="J349" s="70"/>
      <c r="K349" s="70"/>
      <c r="L349" s="70"/>
      <c r="M349" s="70"/>
      <c r="N349" s="70"/>
      <c r="O349" s="70"/>
      <c r="P349" s="70"/>
      <c r="Q349" s="70"/>
      <c r="R349" s="70"/>
    </row>
    <row r="350" spans="1:18" s="538" customFormat="1" x14ac:dyDescent="0.25">
      <c r="A350" s="70"/>
      <c r="B350" s="70"/>
      <c r="C350" s="70"/>
      <c r="D350" s="70"/>
      <c r="E350" s="70"/>
      <c r="F350" s="539"/>
      <c r="G350" s="71"/>
      <c r="H350" s="70"/>
      <c r="I350" s="70"/>
      <c r="J350" s="70"/>
      <c r="K350" s="70"/>
      <c r="L350" s="70"/>
      <c r="M350" s="70"/>
      <c r="N350" s="70"/>
      <c r="O350" s="70"/>
      <c r="P350" s="70"/>
      <c r="Q350" s="70"/>
      <c r="R350" s="70"/>
    </row>
    <row r="351" spans="1:18" s="538" customFormat="1" x14ac:dyDescent="0.25">
      <c r="A351" s="70"/>
      <c r="B351" s="70"/>
      <c r="C351" s="70"/>
      <c r="D351" s="70"/>
      <c r="E351" s="70"/>
      <c r="F351" s="539"/>
      <c r="G351" s="71"/>
      <c r="H351" s="70"/>
      <c r="I351" s="70"/>
      <c r="J351" s="70"/>
      <c r="K351" s="70"/>
      <c r="L351" s="70"/>
      <c r="M351" s="70"/>
      <c r="N351" s="70"/>
      <c r="O351" s="70"/>
      <c r="P351" s="70"/>
      <c r="Q351" s="70"/>
      <c r="R351" s="70"/>
    </row>
    <row r="352" spans="1:18" s="538" customFormat="1" x14ac:dyDescent="0.25">
      <c r="A352" s="70"/>
      <c r="B352" s="70"/>
      <c r="C352" s="70"/>
      <c r="D352" s="70"/>
      <c r="E352" s="70"/>
      <c r="F352" s="539"/>
      <c r="G352" s="71"/>
      <c r="H352" s="70"/>
      <c r="I352" s="70"/>
      <c r="J352" s="70"/>
      <c r="K352" s="70"/>
      <c r="L352" s="70"/>
      <c r="M352" s="70"/>
      <c r="N352" s="70"/>
      <c r="O352" s="70"/>
      <c r="P352" s="70"/>
      <c r="Q352" s="70"/>
      <c r="R352" s="70"/>
    </row>
    <row r="353" spans="1:18" s="538" customFormat="1" x14ac:dyDescent="0.25">
      <c r="A353" s="70"/>
      <c r="B353" s="70"/>
      <c r="C353" s="70"/>
      <c r="D353" s="70"/>
      <c r="E353" s="70"/>
      <c r="F353" s="539"/>
      <c r="G353" s="71"/>
      <c r="H353" s="70"/>
      <c r="I353" s="70"/>
      <c r="J353" s="70"/>
      <c r="K353" s="70"/>
      <c r="L353" s="70"/>
      <c r="M353" s="70"/>
      <c r="N353" s="70"/>
      <c r="O353" s="70"/>
      <c r="P353" s="70"/>
      <c r="Q353" s="70"/>
      <c r="R353" s="70"/>
    </row>
    <row r="354" spans="1:18" s="538" customFormat="1" x14ac:dyDescent="0.25">
      <c r="A354" s="70"/>
      <c r="B354" s="70"/>
      <c r="C354" s="70"/>
      <c r="D354" s="70"/>
      <c r="E354" s="70"/>
      <c r="F354" s="539"/>
      <c r="G354" s="71"/>
      <c r="H354" s="70"/>
      <c r="I354" s="70"/>
      <c r="J354" s="70"/>
      <c r="K354" s="70"/>
      <c r="L354" s="70"/>
      <c r="M354" s="70"/>
      <c r="N354" s="70"/>
      <c r="O354" s="70"/>
      <c r="P354" s="70"/>
      <c r="Q354" s="70"/>
      <c r="R354" s="70"/>
    </row>
    <row r="355" spans="1:18" s="538" customFormat="1" x14ac:dyDescent="0.25">
      <c r="A355" s="70"/>
      <c r="B355" s="70"/>
      <c r="C355" s="70"/>
      <c r="D355" s="70"/>
      <c r="E355" s="70"/>
      <c r="F355" s="539"/>
      <c r="G355" s="71"/>
      <c r="H355" s="70"/>
      <c r="I355" s="70"/>
      <c r="J355" s="70"/>
      <c r="K355" s="70"/>
      <c r="L355" s="70"/>
      <c r="M355" s="70"/>
      <c r="N355" s="70"/>
      <c r="O355" s="70"/>
      <c r="P355" s="70"/>
      <c r="Q355" s="70"/>
      <c r="R355" s="70"/>
    </row>
    <row r="356" spans="1:18" s="538" customFormat="1" x14ac:dyDescent="0.25">
      <c r="A356" s="70"/>
      <c r="B356" s="70"/>
      <c r="C356" s="70"/>
      <c r="D356" s="70"/>
      <c r="E356" s="70"/>
      <c r="F356" s="539"/>
      <c r="G356" s="71"/>
      <c r="H356" s="70"/>
      <c r="I356" s="70"/>
      <c r="J356" s="70"/>
      <c r="K356" s="70"/>
      <c r="L356" s="70"/>
      <c r="M356" s="70"/>
      <c r="N356" s="70"/>
      <c r="O356" s="70"/>
      <c r="P356" s="70"/>
      <c r="Q356" s="70"/>
      <c r="R356" s="70"/>
    </row>
    <row r="357" spans="1:18" s="538" customFormat="1" x14ac:dyDescent="0.25">
      <c r="A357" s="70"/>
      <c r="B357" s="70"/>
      <c r="C357" s="70"/>
      <c r="D357" s="70"/>
      <c r="E357" s="70"/>
      <c r="F357" s="539"/>
      <c r="G357" s="71"/>
      <c r="H357" s="70"/>
      <c r="I357" s="70"/>
      <c r="J357" s="70"/>
      <c r="K357" s="70"/>
      <c r="L357" s="70"/>
      <c r="M357" s="70"/>
      <c r="N357" s="70"/>
      <c r="O357" s="70"/>
      <c r="P357" s="70"/>
      <c r="Q357" s="70"/>
      <c r="R357" s="70"/>
    </row>
    <row r="358" spans="1:18" s="538" customFormat="1" x14ac:dyDescent="0.25">
      <c r="A358" s="70"/>
      <c r="B358" s="70"/>
      <c r="C358" s="70"/>
      <c r="D358" s="70"/>
      <c r="E358" s="70"/>
      <c r="F358" s="539"/>
      <c r="G358" s="71"/>
      <c r="H358" s="70"/>
      <c r="I358" s="70"/>
      <c r="J358" s="70"/>
      <c r="K358" s="70"/>
      <c r="L358" s="70"/>
      <c r="M358" s="70"/>
      <c r="N358" s="70"/>
      <c r="O358" s="70"/>
      <c r="P358" s="70"/>
      <c r="Q358" s="70"/>
      <c r="R358" s="70"/>
    </row>
    <row r="359" spans="1:18" s="538" customFormat="1" x14ac:dyDescent="0.25">
      <c r="A359" s="70"/>
      <c r="B359" s="70"/>
      <c r="C359" s="70"/>
      <c r="D359" s="70"/>
      <c r="E359" s="70"/>
      <c r="F359" s="539"/>
      <c r="G359" s="71"/>
      <c r="H359" s="70"/>
      <c r="I359" s="70"/>
      <c r="J359" s="70"/>
      <c r="K359" s="70"/>
      <c r="L359" s="70"/>
      <c r="M359" s="70"/>
      <c r="N359" s="70"/>
      <c r="O359" s="70"/>
      <c r="P359" s="70"/>
      <c r="Q359" s="70"/>
      <c r="R359" s="70"/>
    </row>
    <row r="360" spans="1:18" s="538" customFormat="1" x14ac:dyDescent="0.25">
      <c r="A360" s="70"/>
      <c r="B360" s="70"/>
      <c r="C360" s="70"/>
      <c r="D360" s="70"/>
      <c r="E360" s="70"/>
      <c r="F360" s="539"/>
      <c r="G360" s="71"/>
      <c r="H360" s="70"/>
      <c r="I360" s="70"/>
      <c r="J360" s="70"/>
      <c r="K360" s="70"/>
      <c r="L360" s="70"/>
      <c r="M360" s="70"/>
      <c r="N360" s="70"/>
      <c r="O360" s="70"/>
      <c r="P360" s="70"/>
      <c r="Q360" s="70"/>
      <c r="R360" s="70"/>
    </row>
    <row r="361" spans="1:18" s="538" customFormat="1" x14ac:dyDescent="0.25">
      <c r="A361" s="70"/>
      <c r="B361" s="70"/>
      <c r="C361" s="70"/>
      <c r="D361" s="70"/>
      <c r="E361" s="70"/>
      <c r="F361" s="539"/>
      <c r="G361" s="71"/>
      <c r="H361" s="70"/>
      <c r="I361" s="70"/>
      <c r="J361" s="70"/>
      <c r="K361" s="70"/>
      <c r="L361" s="70"/>
      <c r="M361" s="70"/>
      <c r="N361" s="70"/>
      <c r="O361" s="70"/>
      <c r="P361" s="70"/>
      <c r="Q361" s="70"/>
      <c r="R361" s="70"/>
    </row>
    <row r="362" spans="1:18" s="538" customFormat="1" x14ac:dyDescent="0.25">
      <c r="A362" s="70"/>
      <c r="B362" s="70"/>
      <c r="C362" s="70"/>
      <c r="D362" s="70"/>
      <c r="E362" s="70"/>
      <c r="F362" s="539"/>
      <c r="G362" s="71"/>
      <c r="H362" s="70"/>
      <c r="I362" s="70"/>
      <c r="J362" s="70"/>
      <c r="K362" s="70"/>
      <c r="L362" s="70"/>
      <c r="M362" s="70"/>
      <c r="N362" s="70"/>
      <c r="O362" s="70"/>
      <c r="P362" s="70"/>
      <c r="Q362" s="70"/>
      <c r="R362" s="70"/>
    </row>
    <row r="363" spans="1:18" s="538" customFormat="1" x14ac:dyDescent="0.25">
      <c r="A363" s="70"/>
      <c r="B363" s="70"/>
      <c r="C363" s="70"/>
      <c r="D363" s="70"/>
      <c r="E363" s="70"/>
      <c r="F363" s="539"/>
      <c r="G363" s="71"/>
      <c r="H363" s="70"/>
      <c r="I363" s="70"/>
      <c r="J363" s="70"/>
      <c r="K363" s="70"/>
      <c r="L363" s="70"/>
      <c r="M363" s="70"/>
      <c r="N363" s="70"/>
      <c r="O363" s="70"/>
      <c r="P363" s="70"/>
      <c r="Q363" s="70"/>
      <c r="R363" s="70"/>
    </row>
    <row r="364" spans="1:18" s="538" customFormat="1" x14ac:dyDescent="0.25">
      <c r="A364" s="70"/>
      <c r="B364" s="70"/>
      <c r="C364" s="70"/>
      <c r="D364" s="70"/>
      <c r="E364" s="70"/>
      <c r="F364" s="539"/>
      <c r="G364" s="71"/>
      <c r="H364" s="70"/>
      <c r="I364" s="70"/>
      <c r="J364" s="70"/>
      <c r="K364" s="70"/>
      <c r="L364" s="70"/>
      <c r="M364" s="70"/>
      <c r="N364" s="70"/>
      <c r="O364" s="70"/>
      <c r="P364" s="70"/>
      <c r="Q364" s="70"/>
      <c r="R364" s="70"/>
    </row>
    <row r="365" spans="1:18" s="538" customFormat="1" x14ac:dyDescent="0.25">
      <c r="A365" s="70"/>
      <c r="B365" s="70"/>
      <c r="C365" s="70"/>
      <c r="D365" s="70"/>
      <c r="E365" s="70"/>
      <c r="F365" s="539"/>
      <c r="G365" s="71"/>
      <c r="H365" s="70"/>
      <c r="I365" s="70"/>
      <c r="J365" s="70"/>
      <c r="K365" s="70"/>
      <c r="L365" s="70"/>
      <c r="M365" s="70"/>
      <c r="N365" s="70"/>
      <c r="O365" s="70"/>
      <c r="P365" s="70"/>
      <c r="Q365" s="70"/>
      <c r="R365" s="70"/>
    </row>
    <row r="366" spans="1:18" s="538" customFormat="1" x14ac:dyDescent="0.25">
      <c r="A366" s="70"/>
      <c r="B366" s="70"/>
      <c r="C366" s="70"/>
      <c r="D366" s="70"/>
      <c r="E366" s="70"/>
      <c r="F366" s="539"/>
      <c r="G366" s="71"/>
      <c r="H366" s="70"/>
      <c r="I366" s="70"/>
      <c r="J366" s="70"/>
      <c r="K366" s="70"/>
      <c r="L366" s="70"/>
      <c r="M366" s="70"/>
      <c r="N366" s="70"/>
      <c r="O366" s="70"/>
      <c r="P366" s="70"/>
      <c r="Q366" s="70"/>
      <c r="R366" s="70"/>
    </row>
    <row r="367" spans="1:18" s="538" customFormat="1" x14ac:dyDescent="0.25">
      <c r="A367" s="70"/>
      <c r="B367" s="70"/>
      <c r="C367" s="70"/>
      <c r="D367" s="70"/>
      <c r="E367" s="70"/>
      <c r="F367" s="539"/>
      <c r="G367" s="71"/>
      <c r="H367" s="70"/>
      <c r="I367" s="70"/>
      <c r="J367" s="70"/>
      <c r="K367" s="70"/>
      <c r="L367" s="70"/>
      <c r="M367" s="70"/>
      <c r="N367" s="70"/>
      <c r="O367" s="70"/>
      <c r="P367" s="70"/>
      <c r="Q367" s="70"/>
      <c r="R367" s="70"/>
    </row>
    <row r="368" spans="1:18" s="538" customFormat="1" x14ac:dyDescent="0.25">
      <c r="A368" s="70"/>
      <c r="B368" s="70"/>
      <c r="C368" s="70"/>
      <c r="D368" s="70"/>
      <c r="E368" s="70"/>
      <c r="F368" s="539"/>
      <c r="G368" s="71"/>
      <c r="H368" s="70"/>
      <c r="I368" s="70"/>
      <c r="J368" s="70"/>
      <c r="K368" s="70"/>
      <c r="L368" s="70"/>
      <c r="M368" s="70"/>
      <c r="N368" s="70"/>
      <c r="O368" s="70"/>
      <c r="P368" s="70"/>
      <c r="Q368" s="70"/>
      <c r="R368" s="70"/>
    </row>
    <row r="369" spans="1:18" s="538" customFormat="1" x14ac:dyDescent="0.25">
      <c r="A369" s="70"/>
      <c r="B369" s="70"/>
      <c r="C369" s="70"/>
      <c r="D369" s="70"/>
      <c r="E369" s="70"/>
      <c r="F369" s="539"/>
      <c r="G369" s="71"/>
      <c r="H369" s="70"/>
      <c r="I369" s="70"/>
      <c r="J369" s="70"/>
      <c r="K369" s="70"/>
      <c r="L369" s="70"/>
      <c r="M369" s="70"/>
      <c r="N369" s="70"/>
      <c r="O369" s="70"/>
      <c r="P369" s="70"/>
      <c r="Q369" s="70"/>
      <c r="R369" s="70"/>
    </row>
    <row r="370" spans="1:18" s="538" customFormat="1" x14ac:dyDescent="0.25">
      <c r="A370" s="70"/>
      <c r="B370" s="70"/>
      <c r="C370" s="70"/>
      <c r="D370" s="70"/>
      <c r="E370" s="70"/>
      <c r="F370" s="539"/>
      <c r="G370" s="71"/>
      <c r="H370" s="70"/>
      <c r="I370" s="70"/>
      <c r="J370" s="70"/>
      <c r="K370" s="70"/>
      <c r="L370" s="70"/>
      <c r="M370" s="70"/>
      <c r="N370" s="70"/>
      <c r="O370" s="70"/>
      <c r="P370" s="70"/>
      <c r="Q370" s="70"/>
      <c r="R370" s="70"/>
    </row>
    <row r="371" spans="1:18" s="538" customFormat="1" x14ac:dyDescent="0.25">
      <c r="A371" s="70"/>
      <c r="B371" s="70"/>
      <c r="C371" s="70"/>
      <c r="D371" s="70"/>
      <c r="E371" s="70"/>
      <c r="F371" s="539"/>
      <c r="G371" s="71"/>
      <c r="H371" s="70"/>
      <c r="I371" s="70"/>
      <c r="J371" s="70"/>
      <c r="K371" s="70"/>
      <c r="L371" s="70"/>
      <c r="M371" s="70"/>
      <c r="N371" s="70"/>
      <c r="O371" s="70"/>
      <c r="P371" s="70"/>
      <c r="Q371" s="70"/>
      <c r="R371" s="70"/>
    </row>
    <row r="372" spans="1:18" s="538" customFormat="1" x14ac:dyDescent="0.25">
      <c r="A372" s="70"/>
      <c r="B372" s="70"/>
      <c r="C372" s="70"/>
      <c r="D372" s="70"/>
      <c r="E372" s="70"/>
      <c r="F372" s="539"/>
      <c r="G372" s="71"/>
      <c r="H372" s="70"/>
      <c r="I372" s="70"/>
      <c r="J372" s="70"/>
      <c r="K372" s="70"/>
      <c r="L372" s="70"/>
      <c r="M372" s="70"/>
      <c r="N372" s="70"/>
      <c r="O372" s="70"/>
      <c r="P372" s="70"/>
      <c r="Q372" s="70"/>
      <c r="R372" s="70"/>
    </row>
    <row r="373" spans="1:18" s="538" customFormat="1" x14ac:dyDescent="0.25">
      <c r="A373" s="70"/>
      <c r="B373" s="70"/>
      <c r="C373" s="70"/>
      <c r="D373" s="70"/>
      <c r="E373" s="70"/>
      <c r="F373" s="539"/>
      <c r="G373" s="71"/>
      <c r="H373" s="70"/>
      <c r="I373" s="70"/>
      <c r="J373" s="70"/>
      <c r="K373" s="70"/>
      <c r="L373" s="70"/>
      <c r="M373" s="70"/>
      <c r="N373" s="70"/>
      <c r="O373" s="70"/>
      <c r="P373" s="70"/>
      <c r="Q373" s="70"/>
      <c r="R373" s="70"/>
    </row>
    <row r="374" spans="1:18" s="538" customFormat="1" x14ac:dyDescent="0.25">
      <c r="A374" s="70"/>
      <c r="B374" s="70"/>
      <c r="C374" s="70"/>
      <c r="D374" s="70"/>
      <c r="E374" s="70"/>
      <c r="F374" s="539"/>
      <c r="G374" s="71"/>
      <c r="H374" s="70"/>
      <c r="I374" s="70"/>
      <c r="J374" s="70"/>
      <c r="K374" s="70"/>
      <c r="L374" s="70"/>
      <c r="M374" s="70"/>
      <c r="N374" s="70"/>
      <c r="O374" s="70"/>
      <c r="P374" s="70"/>
      <c r="Q374" s="70"/>
      <c r="R374" s="70"/>
    </row>
    <row r="375" spans="1:18" s="538" customFormat="1" x14ac:dyDescent="0.25">
      <c r="A375" s="70"/>
      <c r="B375" s="70"/>
      <c r="C375" s="70"/>
      <c r="D375" s="70"/>
      <c r="E375" s="70"/>
      <c r="F375" s="539"/>
      <c r="G375" s="71"/>
      <c r="H375" s="70"/>
      <c r="I375" s="70"/>
      <c r="J375" s="70"/>
      <c r="K375" s="70"/>
      <c r="L375" s="70"/>
      <c r="M375" s="70"/>
      <c r="N375" s="70"/>
      <c r="O375" s="70"/>
      <c r="P375" s="70"/>
      <c r="Q375" s="70"/>
      <c r="R375" s="70"/>
    </row>
    <row r="376" spans="1:18" s="538" customFormat="1" x14ac:dyDescent="0.25">
      <c r="A376" s="70"/>
      <c r="B376" s="70"/>
      <c r="C376" s="70"/>
      <c r="D376" s="70"/>
      <c r="E376" s="70"/>
      <c r="F376" s="539"/>
      <c r="G376" s="71"/>
      <c r="H376" s="70"/>
      <c r="I376" s="70"/>
      <c r="J376" s="70"/>
      <c r="K376" s="70"/>
      <c r="L376" s="70"/>
      <c r="M376" s="70"/>
      <c r="N376" s="70"/>
      <c r="O376" s="70"/>
      <c r="P376" s="70"/>
      <c r="Q376" s="70"/>
      <c r="R376" s="70"/>
    </row>
    <row r="377" spans="1:18" s="538" customFormat="1" x14ac:dyDescent="0.25">
      <c r="A377" s="70"/>
      <c r="B377" s="70"/>
      <c r="C377" s="70"/>
      <c r="D377" s="70"/>
      <c r="E377" s="70"/>
      <c r="F377" s="539"/>
      <c r="G377" s="71"/>
      <c r="H377" s="70"/>
      <c r="I377" s="70"/>
      <c r="J377" s="70"/>
      <c r="K377" s="70"/>
      <c r="L377" s="70"/>
      <c r="M377" s="70"/>
      <c r="N377" s="70"/>
      <c r="O377" s="70"/>
      <c r="P377" s="70"/>
      <c r="Q377" s="70"/>
      <c r="R377" s="70"/>
    </row>
    <row r="378" spans="1:18" s="538" customFormat="1" x14ac:dyDescent="0.25">
      <c r="A378" s="70"/>
      <c r="B378" s="70"/>
      <c r="C378" s="70"/>
      <c r="D378" s="70"/>
      <c r="E378" s="70"/>
      <c r="F378" s="539"/>
      <c r="G378" s="71"/>
      <c r="H378" s="70"/>
      <c r="I378" s="70"/>
      <c r="J378" s="70"/>
      <c r="K378" s="70"/>
      <c r="L378" s="70"/>
      <c r="M378" s="70"/>
      <c r="N378" s="70"/>
      <c r="O378" s="70"/>
      <c r="P378" s="70"/>
      <c r="Q378" s="70"/>
      <c r="R378" s="70"/>
    </row>
    <row r="379" spans="1:18" s="538" customFormat="1" x14ac:dyDescent="0.25">
      <c r="A379" s="70"/>
      <c r="B379" s="70"/>
      <c r="C379" s="70"/>
      <c r="D379" s="70"/>
      <c r="E379" s="70"/>
      <c r="F379" s="539"/>
      <c r="G379" s="71"/>
      <c r="H379" s="70"/>
      <c r="I379" s="70"/>
      <c r="J379" s="70"/>
      <c r="K379" s="70"/>
      <c r="L379" s="70"/>
      <c r="M379" s="70"/>
      <c r="N379" s="70"/>
      <c r="O379" s="70"/>
      <c r="P379" s="70"/>
      <c r="Q379" s="70"/>
      <c r="R379" s="70"/>
    </row>
    <row r="380" spans="1:18" s="538" customFormat="1" x14ac:dyDescent="0.25">
      <c r="A380" s="70"/>
      <c r="B380" s="70"/>
      <c r="C380" s="70"/>
      <c r="D380" s="70"/>
      <c r="E380" s="70"/>
      <c r="F380" s="539"/>
      <c r="G380" s="71"/>
      <c r="H380" s="70"/>
      <c r="I380" s="70"/>
      <c r="J380" s="70"/>
      <c r="K380" s="70"/>
      <c r="L380" s="70"/>
      <c r="M380" s="70"/>
      <c r="N380" s="70"/>
      <c r="O380" s="70"/>
      <c r="P380" s="70"/>
      <c r="Q380" s="70"/>
      <c r="R380" s="70"/>
    </row>
    <row r="381" spans="1:18" s="538" customFormat="1" x14ac:dyDescent="0.25">
      <c r="A381" s="70"/>
      <c r="B381" s="70"/>
      <c r="C381" s="70"/>
      <c r="D381" s="70"/>
      <c r="E381" s="70"/>
      <c r="F381" s="539"/>
      <c r="G381" s="71"/>
      <c r="H381" s="70"/>
      <c r="I381" s="70"/>
      <c r="J381" s="70"/>
      <c r="K381" s="70"/>
      <c r="L381" s="70"/>
      <c r="M381" s="70"/>
      <c r="N381" s="70"/>
      <c r="O381" s="70"/>
      <c r="P381" s="70"/>
      <c r="Q381" s="70"/>
      <c r="R381" s="70"/>
    </row>
    <row r="382" spans="1:18" s="538" customFormat="1" x14ac:dyDescent="0.25">
      <c r="A382" s="70"/>
      <c r="B382" s="70"/>
      <c r="C382" s="70"/>
      <c r="D382" s="70"/>
      <c r="E382" s="70"/>
      <c r="F382" s="539"/>
      <c r="G382" s="71"/>
      <c r="H382" s="70"/>
      <c r="I382" s="70"/>
      <c r="J382" s="70"/>
      <c r="K382" s="70"/>
      <c r="L382" s="70"/>
      <c r="M382" s="70"/>
      <c r="N382" s="70"/>
      <c r="O382" s="70"/>
      <c r="P382" s="70"/>
      <c r="Q382" s="70"/>
      <c r="R382" s="70"/>
    </row>
    <row r="383" spans="1:18" s="538" customFormat="1" x14ac:dyDescent="0.25">
      <c r="A383" s="70"/>
      <c r="B383" s="70"/>
      <c r="C383" s="70"/>
      <c r="D383" s="70"/>
      <c r="E383" s="70"/>
      <c r="F383" s="539"/>
      <c r="G383" s="71"/>
      <c r="H383" s="70"/>
      <c r="I383" s="70"/>
      <c r="J383" s="70"/>
      <c r="K383" s="70"/>
      <c r="L383" s="70"/>
      <c r="M383" s="70"/>
      <c r="N383" s="70"/>
      <c r="O383" s="70"/>
      <c r="P383" s="70"/>
      <c r="Q383" s="70"/>
      <c r="R383" s="70"/>
    </row>
    <row r="384" spans="1:18" s="538" customFormat="1" x14ac:dyDescent="0.25">
      <c r="A384" s="70"/>
      <c r="B384" s="70"/>
      <c r="C384" s="70"/>
      <c r="D384" s="70"/>
      <c r="E384" s="70"/>
      <c r="F384" s="539"/>
      <c r="G384" s="71"/>
      <c r="H384" s="70"/>
      <c r="I384" s="70"/>
      <c r="J384" s="70"/>
      <c r="K384" s="70"/>
      <c r="L384" s="70"/>
      <c r="M384" s="70"/>
      <c r="N384" s="70"/>
      <c r="O384" s="70"/>
      <c r="P384" s="70"/>
      <c r="Q384" s="70"/>
      <c r="R384" s="70"/>
    </row>
    <row r="385" spans="1:18" s="538" customFormat="1" x14ac:dyDescent="0.25">
      <c r="A385" s="70"/>
      <c r="B385" s="70"/>
      <c r="C385" s="70"/>
      <c r="D385" s="70"/>
      <c r="E385" s="70"/>
      <c r="F385" s="539"/>
      <c r="G385" s="71"/>
      <c r="H385" s="70"/>
      <c r="I385" s="70"/>
      <c r="J385" s="70"/>
      <c r="K385" s="70"/>
      <c r="L385" s="70"/>
      <c r="M385" s="70"/>
      <c r="N385" s="70"/>
      <c r="O385" s="70"/>
      <c r="P385" s="70"/>
      <c r="Q385" s="70"/>
      <c r="R385" s="70"/>
    </row>
    <row r="386" spans="1:18" s="538" customFormat="1" x14ac:dyDescent="0.25">
      <c r="A386" s="70"/>
      <c r="B386" s="70"/>
      <c r="C386" s="70"/>
      <c r="D386" s="70"/>
      <c r="E386" s="70"/>
      <c r="F386" s="539"/>
      <c r="G386" s="71"/>
      <c r="H386" s="70"/>
      <c r="I386" s="70"/>
      <c r="J386" s="70"/>
      <c r="K386" s="70"/>
      <c r="L386" s="70"/>
      <c r="M386" s="70"/>
      <c r="N386" s="70"/>
      <c r="O386" s="70"/>
      <c r="P386" s="70"/>
      <c r="Q386" s="70"/>
      <c r="R386" s="70"/>
    </row>
    <row r="387" spans="1:18" s="538" customFormat="1" x14ac:dyDescent="0.25">
      <c r="A387" s="70"/>
      <c r="B387" s="70"/>
      <c r="C387" s="70"/>
      <c r="D387" s="70"/>
      <c r="E387" s="70"/>
      <c r="F387" s="539"/>
      <c r="G387" s="71"/>
      <c r="H387" s="70"/>
      <c r="I387" s="70"/>
      <c r="J387" s="70"/>
      <c r="K387" s="70"/>
      <c r="L387" s="70"/>
      <c r="M387" s="70"/>
      <c r="N387" s="70"/>
      <c r="O387" s="70"/>
      <c r="P387" s="70"/>
      <c r="Q387" s="70"/>
      <c r="R387" s="70"/>
    </row>
    <row r="388" spans="1:18" s="538" customFormat="1" x14ac:dyDescent="0.25">
      <c r="A388" s="70"/>
      <c r="B388" s="70"/>
      <c r="C388" s="70"/>
      <c r="D388" s="70"/>
      <c r="E388" s="70"/>
      <c r="F388" s="539"/>
      <c r="G388" s="71"/>
      <c r="H388" s="70"/>
      <c r="I388" s="70"/>
      <c r="J388" s="70"/>
      <c r="K388" s="70"/>
      <c r="L388" s="70"/>
      <c r="M388" s="70"/>
      <c r="N388" s="70"/>
      <c r="O388" s="70"/>
      <c r="P388" s="70"/>
      <c r="Q388" s="70"/>
      <c r="R388" s="70"/>
    </row>
    <row r="389" spans="1:18" s="538" customFormat="1" x14ac:dyDescent="0.25">
      <c r="A389" s="70"/>
      <c r="B389" s="70"/>
      <c r="C389" s="70"/>
      <c r="D389" s="70"/>
      <c r="E389" s="70"/>
      <c r="F389" s="539"/>
      <c r="G389" s="71"/>
      <c r="H389" s="70"/>
      <c r="I389" s="70"/>
      <c r="J389" s="70"/>
      <c r="K389" s="70"/>
      <c r="L389" s="70"/>
      <c r="M389" s="70"/>
      <c r="N389" s="70"/>
      <c r="O389" s="70"/>
      <c r="P389" s="70"/>
      <c r="Q389" s="70"/>
      <c r="R389" s="70"/>
    </row>
    <row r="390" spans="1:18" s="538" customFormat="1" x14ac:dyDescent="0.25">
      <c r="A390" s="70"/>
      <c r="B390" s="70"/>
      <c r="C390" s="70"/>
      <c r="D390" s="70"/>
      <c r="E390" s="70"/>
      <c r="F390" s="539"/>
      <c r="G390" s="71"/>
      <c r="H390" s="70"/>
      <c r="I390" s="70"/>
      <c r="J390" s="70"/>
      <c r="K390" s="70"/>
      <c r="L390" s="70"/>
      <c r="M390" s="70"/>
      <c r="N390" s="70"/>
      <c r="O390" s="70"/>
      <c r="P390" s="70"/>
      <c r="Q390" s="70"/>
      <c r="R390" s="70"/>
    </row>
    <row r="391" spans="1:18" s="538" customFormat="1" x14ac:dyDescent="0.25">
      <c r="A391" s="70"/>
      <c r="B391" s="70"/>
      <c r="C391" s="70"/>
      <c r="D391" s="70"/>
      <c r="E391" s="70"/>
      <c r="F391" s="539"/>
      <c r="G391" s="71"/>
      <c r="H391" s="70"/>
      <c r="I391" s="70"/>
      <c r="J391" s="70"/>
      <c r="K391" s="70"/>
      <c r="L391" s="70"/>
      <c r="M391" s="70"/>
      <c r="N391" s="70"/>
      <c r="O391" s="70"/>
      <c r="P391" s="70"/>
      <c r="Q391" s="70"/>
      <c r="R391" s="70"/>
    </row>
    <row r="392" spans="1:18" s="538" customFormat="1" x14ac:dyDescent="0.25">
      <c r="A392" s="70"/>
      <c r="B392" s="70"/>
      <c r="C392" s="70"/>
      <c r="D392" s="70"/>
      <c r="E392" s="70"/>
      <c r="F392" s="539"/>
      <c r="G392" s="71"/>
      <c r="H392" s="70"/>
      <c r="I392" s="70"/>
      <c r="J392" s="70"/>
      <c r="K392" s="70"/>
      <c r="L392" s="70"/>
      <c r="M392" s="70"/>
      <c r="N392" s="70"/>
      <c r="O392" s="70"/>
      <c r="P392" s="70"/>
      <c r="Q392" s="70"/>
      <c r="R392" s="70"/>
    </row>
    <row r="393" spans="1:18" s="538" customFormat="1" x14ac:dyDescent="0.25">
      <c r="A393" s="70"/>
      <c r="B393" s="70"/>
      <c r="C393" s="70"/>
      <c r="D393" s="70"/>
      <c r="E393" s="70"/>
      <c r="F393" s="539"/>
      <c r="G393" s="71"/>
      <c r="H393" s="70"/>
      <c r="I393" s="70"/>
      <c r="J393" s="70"/>
      <c r="K393" s="70"/>
      <c r="L393" s="70"/>
      <c r="M393" s="70"/>
      <c r="N393" s="70"/>
      <c r="O393" s="70"/>
      <c r="P393" s="70"/>
      <c r="Q393" s="70"/>
      <c r="R393" s="70"/>
    </row>
    <row r="394" spans="1:18" s="538" customFormat="1" x14ac:dyDescent="0.25">
      <c r="A394" s="70"/>
      <c r="B394" s="70"/>
      <c r="C394" s="70"/>
      <c r="D394" s="70"/>
      <c r="E394" s="70"/>
      <c r="F394" s="539"/>
      <c r="G394" s="71"/>
      <c r="H394" s="70"/>
      <c r="I394" s="70"/>
      <c r="J394" s="70"/>
      <c r="K394" s="70"/>
      <c r="L394" s="70"/>
      <c r="M394" s="70"/>
      <c r="N394" s="70"/>
      <c r="O394" s="70"/>
      <c r="P394" s="70"/>
      <c r="Q394" s="70"/>
      <c r="R394" s="70"/>
    </row>
    <row r="395" spans="1:18" s="538" customFormat="1" x14ac:dyDescent="0.25">
      <c r="A395" s="70"/>
      <c r="B395" s="70"/>
      <c r="C395" s="70"/>
      <c r="D395" s="70"/>
      <c r="E395" s="70"/>
      <c r="F395" s="539"/>
      <c r="G395" s="71"/>
      <c r="H395" s="70"/>
      <c r="I395" s="70"/>
      <c r="J395" s="70"/>
      <c r="K395" s="70"/>
      <c r="L395" s="70"/>
      <c r="M395" s="70"/>
      <c r="N395" s="70"/>
      <c r="O395" s="70"/>
      <c r="P395" s="70"/>
      <c r="Q395" s="70"/>
      <c r="R395" s="70"/>
    </row>
    <row r="396" spans="1:18" s="538" customFormat="1" x14ac:dyDescent="0.25">
      <c r="A396" s="70"/>
      <c r="B396" s="70"/>
      <c r="C396" s="70"/>
      <c r="D396" s="70"/>
      <c r="E396" s="70"/>
      <c r="F396" s="539"/>
      <c r="G396" s="71"/>
      <c r="H396" s="70"/>
      <c r="I396" s="70"/>
      <c r="J396" s="70"/>
      <c r="K396" s="70"/>
      <c r="L396" s="70"/>
      <c r="M396" s="70"/>
      <c r="N396" s="70"/>
      <c r="O396" s="70"/>
      <c r="P396" s="70"/>
      <c r="Q396" s="70"/>
      <c r="R396" s="70"/>
    </row>
    <row r="397" spans="1:18" s="538" customFormat="1" x14ac:dyDescent="0.25">
      <c r="A397" s="70"/>
      <c r="B397" s="70"/>
      <c r="C397" s="70"/>
      <c r="D397" s="70"/>
      <c r="E397" s="70"/>
      <c r="F397" s="539"/>
      <c r="G397" s="71"/>
      <c r="H397" s="70"/>
      <c r="I397" s="70"/>
      <c r="J397" s="70"/>
      <c r="K397" s="70"/>
      <c r="L397" s="70"/>
      <c r="M397" s="70"/>
      <c r="N397" s="70"/>
      <c r="O397" s="70"/>
      <c r="P397" s="70"/>
      <c r="Q397" s="70"/>
      <c r="R397" s="70"/>
    </row>
    <row r="398" spans="1:18" s="538" customFormat="1" x14ac:dyDescent="0.25">
      <c r="A398" s="70"/>
      <c r="B398" s="70"/>
      <c r="C398" s="70"/>
      <c r="D398" s="70"/>
      <c r="E398" s="70"/>
      <c r="F398" s="539"/>
      <c r="G398" s="71"/>
      <c r="H398" s="70"/>
      <c r="I398" s="70"/>
      <c r="J398" s="70"/>
      <c r="K398" s="70"/>
      <c r="L398" s="70"/>
      <c r="M398" s="70"/>
      <c r="N398" s="70"/>
      <c r="O398" s="70"/>
      <c r="P398" s="70"/>
      <c r="Q398" s="70"/>
      <c r="R398" s="70"/>
    </row>
    <row r="399" spans="1:18" s="538" customFormat="1" x14ac:dyDescent="0.25">
      <c r="A399" s="70"/>
      <c r="B399" s="70"/>
      <c r="C399" s="70"/>
      <c r="D399" s="70"/>
      <c r="E399" s="70"/>
      <c r="F399" s="539"/>
      <c r="G399" s="71"/>
      <c r="H399" s="70"/>
      <c r="I399" s="70"/>
      <c r="J399" s="70"/>
      <c r="K399" s="70"/>
      <c r="L399" s="70"/>
      <c r="M399" s="70"/>
      <c r="N399" s="70"/>
      <c r="O399" s="70"/>
      <c r="P399" s="70"/>
      <c r="Q399" s="70"/>
      <c r="R399" s="70"/>
    </row>
    <row r="400" spans="1:18" s="538" customFormat="1" x14ac:dyDescent="0.25">
      <c r="A400" s="70"/>
      <c r="B400" s="70"/>
      <c r="C400" s="70"/>
      <c r="D400" s="70"/>
      <c r="E400" s="70"/>
      <c r="F400" s="539"/>
      <c r="G400" s="71"/>
      <c r="H400" s="70"/>
      <c r="I400" s="70"/>
      <c r="J400" s="70"/>
      <c r="K400" s="70"/>
      <c r="L400" s="70"/>
      <c r="M400" s="70"/>
      <c r="N400" s="70"/>
      <c r="O400" s="70"/>
      <c r="P400" s="70"/>
      <c r="Q400" s="70"/>
      <c r="R400" s="70"/>
    </row>
    <row r="401" spans="1:18" s="538" customFormat="1" x14ac:dyDescent="0.25">
      <c r="A401" s="70"/>
      <c r="B401" s="70"/>
      <c r="C401" s="70"/>
      <c r="D401" s="70"/>
      <c r="E401" s="70"/>
      <c r="F401" s="539"/>
      <c r="G401" s="71"/>
      <c r="H401" s="70"/>
      <c r="I401" s="70"/>
      <c r="J401" s="70"/>
      <c r="K401" s="70"/>
      <c r="L401" s="70"/>
      <c r="M401" s="70"/>
      <c r="N401" s="70"/>
      <c r="O401" s="70"/>
      <c r="P401" s="70"/>
      <c r="Q401" s="70"/>
      <c r="R401" s="70"/>
    </row>
    <row r="402" spans="1:18" s="538" customFormat="1" x14ac:dyDescent="0.25">
      <c r="A402" s="70"/>
      <c r="B402" s="70"/>
      <c r="C402" s="70"/>
      <c r="D402" s="70"/>
      <c r="E402" s="70"/>
      <c r="F402" s="539"/>
      <c r="G402" s="71"/>
      <c r="H402" s="70"/>
      <c r="I402" s="70"/>
      <c r="J402" s="70"/>
      <c r="K402" s="70"/>
      <c r="L402" s="70"/>
      <c r="M402" s="70"/>
      <c r="N402" s="70"/>
      <c r="O402" s="70"/>
      <c r="P402" s="70"/>
      <c r="Q402" s="70"/>
      <c r="R402" s="70"/>
    </row>
    <row r="403" spans="1:18" s="538" customFormat="1" x14ac:dyDescent="0.25">
      <c r="A403" s="70"/>
      <c r="B403" s="70"/>
      <c r="C403" s="70"/>
      <c r="D403" s="70"/>
      <c r="E403" s="70"/>
      <c r="F403" s="539"/>
      <c r="G403" s="71"/>
      <c r="H403" s="70"/>
      <c r="I403" s="70"/>
      <c r="J403" s="70"/>
      <c r="K403" s="70"/>
      <c r="L403" s="70"/>
      <c r="M403" s="70"/>
      <c r="N403" s="70"/>
      <c r="O403" s="70"/>
      <c r="P403" s="70"/>
      <c r="Q403" s="70"/>
      <c r="R403" s="70"/>
    </row>
    <row r="404" spans="1:18" s="538" customFormat="1" x14ac:dyDescent="0.25">
      <c r="A404" s="70"/>
      <c r="B404" s="70"/>
      <c r="C404" s="70"/>
      <c r="D404" s="70"/>
      <c r="E404" s="70"/>
      <c r="F404" s="539"/>
      <c r="G404" s="71"/>
      <c r="H404" s="70"/>
      <c r="I404" s="70"/>
      <c r="J404" s="70"/>
      <c r="K404" s="70"/>
      <c r="L404" s="70"/>
      <c r="M404" s="70"/>
      <c r="N404" s="70"/>
      <c r="O404" s="70"/>
      <c r="P404" s="70"/>
      <c r="Q404" s="70"/>
      <c r="R404" s="70"/>
    </row>
    <row r="405" spans="1:18" s="538" customFormat="1" x14ac:dyDescent="0.25">
      <c r="A405" s="70"/>
      <c r="B405" s="70"/>
      <c r="C405" s="70"/>
      <c r="D405" s="70"/>
      <c r="E405" s="70"/>
      <c r="F405" s="539"/>
      <c r="G405" s="71"/>
      <c r="H405" s="70"/>
      <c r="I405" s="70"/>
      <c r="J405" s="70"/>
      <c r="K405" s="70"/>
      <c r="L405" s="70"/>
      <c r="M405" s="70"/>
      <c r="N405" s="70"/>
      <c r="O405" s="70"/>
      <c r="P405" s="70"/>
      <c r="Q405" s="70"/>
      <c r="R405" s="70"/>
    </row>
    <row r="406" spans="1:18" s="538" customFormat="1" x14ac:dyDescent="0.25">
      <c r="A406" s="70"/>
      <c r="B406" s="70"/>
      <c r="C406" s="70"/>
      <c r="D406" s="70"/>
      <c r="E406" s="70"/>
      <c r="F406" s="539"/>
      <c r="G406" s="71"/>
      <c r="H406" s="70"/>
      <c r="I406" s="70"/>
      <c r="J406" s="70"/>
      <c r="K406" s="70"/>
      <c r="L406" s="70"/>
      <c r="M406" s="70"/>
      <c r="N406" s="70"/>
      <c r="O406" s="70"/>
      <c r="P406" s="70"/>
      <c r="Q406" s="70"/>
      <c r="R406" s="70"/>
    </row>
    <row r="407" spans="1:18" s="538" customFormat="1" x14ac:dyDescent="0.25">
      <c r="A407" s="70"/>
      <c r="B407" s="70"/>
      <c r="C407" s="70"/>
      <c r="D407" s="70"/>
      <c r="E407" s="70"/>
      <c r="F407" s="539"/>
      <c r="G407" s="71"/>
      <c r="H407" s="70"/>
      <c r="I407" s="70"/>
      <c r="J407" s="70"/>
      <c r="K407" s="70"/>
      <c r="L407" s="70"/>
      <c r="M407" s="70"/>
      <c r="N407" s="70"/>
      <c r="O407" s="70"/>
      <c r="P407" s="70"/>
      <c r="Q407" s="70"/>
      <c r="R407" s="70"/>
    </row>
    <row r="408" spans="1:18" s="538" customFormat="1" x14ac:dyDescent="0.25">
      <c r="A408" s="70"/>
      <c r="B408" s="70"/>
      <c r="C408" s="70"/>
      <c r="D408" s="70"/>
      <c r="E408" s="70"/>
      <c r="F408" s="539"/>
      <c r="G408" s="71"/>
      <c r="H408" s="70"/>
      <c r="I408" s="70"/>
      <c r="J408" s="70"/>
      <c r="K408" s="70"/>
      <c r="L408" s="70"/>
      <c r="M408" s="70"/>
      <c r="N408" s="70"/>
      <c r="O408" s="70"/>
      <c r="P408" s="70"/>
      <c r="Q408" s="70"/>
      <c r="R408" s="70"/>
    </row>
    <row r="409" spans="1:18" s="538" customFormat="1" x14ac:dyDescent="0.25">
      <c r="A409" s="70"/>
      <c r="B409" s="70"/>
      <c r="C409" s="70"/>
      <c r="D409" s="70"/>
      <c r="E409" s="70"/>
      <c r="F409" s="539"/>
      <c r="G409" s="71"/>
      <c r="H409" s="70"/>
      <c r="I409" s="70"/>
      <c r="J409" s="70"/>
      <c r="K409" s="70"/>
      <c r="L409" s="70"/>
      <c r="M409" s="70"/>
      <c r="N409" s="70"/>
      <c r="O409" s="70"/>
      <c r="P409" s="70"/>
      <c r="Q409" s="70"/>
      <c r="R409" s="70"/>
    </row>
    <row r="410" spans="1:18" s="538" customFormat="1" x14ac:dyDescent="0.25">
      <c r="A410" s="70"/>
      <c r="B410" s="70"/>
      <c r="C410" s="70"/>
      <c r="D410" s="70"/>
      <c r="E410" s="70"/>
      <c r="F410" s="539"/>
      <c r="G410" s="71"/>
      <c r="H410" s="70"/>
      <c r="I410" s="70"/>
      <c r="J410" s="70"/>
      <c r="K410" s="70"/>
      <c r="L410" s="70"/>
      <c r="M410" s="70"/>
      <c r="N410" s="70"/>
      <c r="O410" s="70"/>
      <c r="P410" s="70"/>
      <c r="Q410" s="70"/>
      <c r="R410" s="70"/>
    </row>
    <row r="411" spans="1:18" s="538" customFormat="1" x14ac:dyDescent="0.25">
      <c r="A411" s="70"/>
      <c r="B411" s="70"/>
      <c r="C411" s="70"/>
      <c r="D411" s="70"/>
      <c r="E411" s="70"/>
      <c r="F411" s="539"/>
      <c r="G411" s="71"/>
      <c r="H411" s="70"/>
      <c r="I411" s="70"/>
      <c r="J411" s="70"/>
      <c r="K411" s="70"/>
      <c r="L411" s="70"/>
      <c r="M411" s="70"/>
      <c r="N411" s="70"/>
      <c r="O411" s="70"/>
      <c r="P411" s="70"/>
      <c r="Q411" s="70"/>
      <c r="R411" s="70"/>
    </row>
    <row r="412" spans="1:18" s="538" customFormat="1" x14ac:dyDescent="0.25">
      <c r="A412" s="70"/>
      <c r="B412" s="70"/>
      <c r="C412" s="70"/>
      <c r="D412" s="70"/>
      <c r="E412" s="70"/>
      <c r="F412" s="539"/>
      <c r="G412" s="71"/>
      <c r="H412" s="70"/>
      <c r="I412" s="70"/>
      <c r="J412" s="70"/>
      <c r="K412" s="70"/>
      <c r="L412" s="70"/>
      <c r="M412" s="70"/>
      <c r="N412" s="70"/>
      <c r="O412" s="70"/>
      <c r="P412" s="70"/>
      <c r="Q412" s="70"/>
      <c r="R412" s="70"/>
    </row>
    <row r="413" spans="1:18" s="538" customFormat="1" x14ac:dyDescent="0.25">
      <c r="A413" s="70"/>
      <c r="B413" s="70"/>
      <c r="C413" s="70"/>
      <c r="D413" s="70"/>
      <c r="E413" s="70"/>
      <c r="F413" s="539"/>
      <c r="G413" s="71"/>
      <c r="H413" s="70"/>
      <c r="I413" s="70"/>
      <c r="J413" s="70"/>
      <c r="K413" s="70"/>
      <c r="L413" s="70"/>
      <c r="M413" s="70"/>
      <c r="N413" s="70"/>
      <c r="O413" s="70"/>
      <c r="P413" s="70"/>
      <c r="Q413" s="70"/>
      <c r="R413" s="70"/>
    </row>
    <row r="414" spans="1:18" s="538" customFormat="1" x14ac:dyDescent="0.25">
      <c r="A414" s="70"/>
      <c r="B414" s="70"/>
      <c r="C414" s="70"/>
      <c r="D414" s="70"/>
      <c r="E414" s="70"/>
      <c r="F414" s="539"/>
      <c r="G414" s="71"/>
      <c r="H414" s="70"/>
      <c r="I414" s="70"/>
      <c r="J414" s="70"/>
      <c r="K414" s="70"/>
      <c r="L414" s="70"/>
      <c r="M414" s="70"/>
      <c r="N414" s="70"/>
      <c r="O414" s="70"/>
      <c r="P414" s="70"/>
      <c r="Q414" s="70"/>
      <c r="R414" s="70"/>
    </row>
    <row r="415" spans="1:18" s="538" customFormat="1" x14ac:dyDescent="0.25">
      <c r="A415" s="70"/>
      <c r="B415" s="70"/>
      <c r="C415" s="70"/>
      <c r="D415" s="70"/>
      <c r="E415" s="70"/>
      <c r="F415" s="539"/>
      <c r="G415" s="71"/>
      <c r="H415" s="70"/>
      <c r="I415" s="70"/>
      <c r="J415" s="70"/>
      <c r="K415" s="70"/>
      <c r="L415" s="70"/>
      <c r="M415" s="70"/>
      <c r="N415" s="70"/>
      <c r="O415" s="70"/>
      <c r="P415" s="70"/>
      <c r="Q415" s="70"/>
      <c r="R415" s="70"/>
    </row>
    <row r="416" spans="1:18" s="538" customFormat="1" x14ac:dyDescent="0.25">
      <c r="A416" s="70"/>
      <c r="B416" s="70"/>
      <c r="C416" s="70"/>
      <c r="D416" s="70"/>
      <c r="E416" s="70"/>
      <c r="F416" s="539"/>
      <c r="G416" s="71"/>
      <c r="H416" s="70"/>
      <c r="I416" s="70"/>
      <c r="J416" s="70"/>
      <c r="K416" s="70"/>
      <c r="L416" s="70"/>
      <c r="M416" s="70"/>
      <c r="N416" s="70"/>
      <c r="O416" s="70"/>
      <c r="P416" s="70"/>
      <c r="Q416" s="70"/>
      <c r="R416" s="70"/>
    </row>
    <row r="417" spans="1:18" s="538" customFormat="1" x14ac:dyDescent="0.25">
      <c r="A417" s="70"/>
      <c r="B417" s="70"/>
      <c r="C417" s="70"/>
      <c r="D417" s="70"/>
      <c r="E417" s="70"/>
      <c r="F417" s="539"/>
      <c r="G417" s="71"/>
      <c r="H417" s="70"/>
      <c r="I417" s="70"/>
      <c r="J417" s="70"/>
      <c r="K417" s="70"/>
      <c r="L417" s="70"/>
      <c r="M417" s="70"/>
      <c r="N417" s="70"/>
      <c r="O417" s="70"/>
      <c r="P417" s="70"/>
      <c r="Q417" s="70"/>
      <c r="R417" s="70"/>
    </row>
    <row r="418" spans="1:18" s="538" customFormat="1" x14ac:dyDescent="0.25">
      <c r="A418" s="70"/>
      <c r="B418" s="70"/>
      <c r="C418" s="70"/>
      <c r="D418" s="70"/>
      <c r="E418" s="70"/>
      <c r="F418" s="539"/>
      <c r="G418" s="71"/>
      <c r="H418" s="70"/>
      <c r="I418" s="70"/>
      <c r="J418" s="70"/>
      <c r="K418" s="70"/>
      <c r="L418" s="70"/>
      <c r="M418" s="70"/>
      <c r="N418" s="70"/>
      <c r="O418" s="70"/>
      <c r="P418" s="70"/>
      <c r="Q418" s="70"/>
      <c r="R418" s="70"/>
    </row>
    <row r="419" spans="1:18" s="538" customFormat="1" x14ac:dyDescent="0.25">
      <c r="A419" s="70"/>
      <c r="B419" s="70"/>
      <c r="C419" s="70"/>
      <c r="D419" s="70"/>
      <c r="E419" s="70"/>
      <c r="F419" s="539"/>
      <c r="G419" s="71"/>
      <c r="H419" s="70"/>
      <c r="I419" s="70"/>
      <c r="J419" s="70"/>
      <c r="K419" s="70"/>
      <c r="L419" s="70"/>
      <c r="M419" s="70"/>
      <c r="N419" s="70"/>
      <c r="O419" s="70"/>
      <c r="P419" s="70"/>
      <c r="Q419" s="70"/>
      <c r="R419" s="70"/>
    </row>
    <row r="420" spans="1:18" s="538" customFormat="1" x14ac:dyDescent="0.25">
      <c r="A420" s="70"/>
      <c r="B420" s="70"/>
      <c r="C420" s="70"/>
      <c r="D420" s="70"/>
      <c r="E420" s="70"/>
      <c r="F420" s="539"/>
      <c r="G420" s="71"/>
      <c r="H420" s="70"/>
      <c r="I420" s="70"/>
      <c r="J420" s="70"/>
      <c r="K420" s="70"/>
      <c r="L420" s="70"/>
      <c r="M420" s="70"/>
      <c r="N420" s="70"/>
      <c r="O420" s="70"/>
      <c r="P420" s="70"/>
      <c r="Q420" s="70"/>
      <c r="R420" s="70"/>
    </row>
    <row r="421" spans="1:18" s="538" customFormat="1" x14ac:dyDescent="0.25">
      <c r="A421" s="70"/>
      <c r="B421" s="70"/>
      <c r="C421" s="70"/>
      <c r="D421" s="70"/>
      <c r="E421" s="70"/>
      <c r="F421" s="539"/>
      <c r="G421" s="71"/>
      <c r="H421" s="70"/>
      <c r="I421" s="70"/>
      <c r="J421" s="70"/>
      <c r="K421" s="70"/>
      <c r="L421" s="70"/>
      <c r="M421" s="70"/>
      <c r="N421" s="70"/>
      <c r="O421" s="70"/>
      <c r="P421" s="70"/>
      <c r="Q421" s="70"/>
      <c r="R421" s="70"/>
    </row>
    <row r="422" spans="1:18" s="538" customFormat="1" x14ac:dyDescent="0.25">
      <c r="A422" s="70"/>
      <c r="B422" s="70"/>
      <c r="C422" s="70"/>
      <c r="D422" s="70"/>
      <c r="E422" s="70"/>
      <c r="F422" s="539"/>
      <c r="G422" s="71"/>
      <c r="H422" s="70"/>
      <c r="I422" s="70"/>
      <c r="J422" s="70"/>
      <c r="K422" s="70"/>
      <c r="L422" s="70"/>
      <c r="M422" s="70"/>
      <c r="N422" s="70"/>
      <c r="O422" s="70"/>
      <c r="P422" s="70"/>
      <c r="Q422" s="70"/>
      <c r="R422" s="70"/>
    </row>
    <row r="423" spans="1:18" s="538" customFormat="1" x14ac:dyDescent="0.25">
      <c r="A423" s="70"/>
      <c r="B423" s="70"/>
      <c r="C423" s="70"/>
      <c r="D423" s="70"/>
      <c r="E423" s="70"/>
      <c r="F423" s="539"/>
      <c r="G423" s="71"/>
      <c r="H423" s="70"/>
      <c r="I423" s="70"/>
      <c r="J423" s="70"/>
      <c r="K423" s="70"/>
      <c r="L423" s="70"/>
      <c r="M423" s="70"/>
      <c r="N423" s="70"/>
      <c r="O423" s="70"/>
      <c r="P423" s="70"/>
      <c r="Q423" s="70"/>
      <c r="R423" s="70"/>
    </row>
    <row r="424" spans="1:18" s="538" customFormat="1" x14ac:dyDescent="0.25">
      <c r="A424" s="70"/>
      <c r="B424" s="70"/>
      <c r="C424" s="70"/>
      <c r="D424" s="70"/>
      <c r="E424" s="70"/>
      <c r="F424" s="539"/>
      <c r="G424" s="71"/>
      <c r="H424" s="70"/>
      <c r="I424" s="70"/>
      <c r="J424" s="70"/>
      <c r="K424" s="70"/>
      <c r="L424" s="70"/>
      <c r="M424" s="70"/>
      <c r="N424" s="70"/>
      <c r="O424" s="70"/>
      <c r="P424" s="70"/>
      <c r="Q424" s="70"/>
      <c r="R424" s="70"/>
    </row>
    <row r="425" spans="1:18" s="538" customFormat="1" x14ac:dyDescent="0.25">
      <c r="A425" s="70"/>
      <c r="B425" s="70"/>
      <c r="C425" s="70"/>
      <c r="D425" s="70"/>
      <c r="E425" s="70"/>
      <c r="F425" s="539"/>
      <c r="G425" s="71"/>
      <c r="H425" s="70"/>
      <c r="I425" s="70"/>
      <c r="J425" s="70"/>
      <c r="K425" s="70"/>
      <c r="L425" s="70"/>
      <c r="M425" s="70"/>
      <c r="N425" s="70"/>
      <c r="O425" s="70"/>
      <c r="P425" s="70"/>
      <c r="Q425" s="70"/>
      <c r="R425" s="70"/>
    </row>
    <row r="426" spans="1:18" s="538" customFormat="1" x14ac:dyDescent="0.25">
      <c r="A426" s="70"/>
      <c r="B426" s="70"/>
      <c r="C426" s="70"/>
      <c r="D426" s="70"/>
      <c r="E426" s="70"/>
      <c r="F426" s="539"/>
      <c r="G426" s="71"/>
      <c r="H426" s="70"/>
      <c r="I426" s="70"/>
      <c r="J426" s="70"/>
      <c r="K426" s="70"/>
      <c r="L426" s="70"/>
      <c r="M426" s="70"/>
      <c r="N426" s="70"/>
      <c r="O426" s="70"/>
      <c r="P426" s="70"/>
      <c r="Q426" s="70"/>
      <c r="R426" s="70"/>
    </row>
    <row r="427" spans="1:18" s="538" customFormat="1" x14ac:dyDescent="0.25">
      <c r="A427" s="70"/>
      <c r="B427" s="70"/>
      <c r="C427" s="70"/>
      <c r="D427" s="70"/>
      <c r="E427" s="70"/>
      <c r="F427" s="539"/>
      <c r="G427" s="71"/>
      <c r="H427" s="70"/>
      <c r="I427" s="70"/>
      <c r="J427" s="70"/>
      <c r="K427" s="70"/>
      <c r="L427" s="70"/>
      <c r="M427" s="70"/>
      <c r="N427" s="70"/>
      <c r="O427" s="70"/>
      <c r="P427" s="70"/>
      <c r="Q427" s="70"/>
      <c r="R427" s="70"/>
    </row>
    <row r="428" spans="1:18" s="538" customFormat="1" x14ac:dyDescent="0.25">
      <c r="A428" s="70"/>
      <c r="B428" s="70"/>
      <c r="C428" s="70"/>
      <c r="D428" s="70"/>
      <c r="E428" s="70"/>
      <c r="F428" s="539"/>
      <c r="G428" s="71"/>
      <c r="H428" s="70"/>
      <c r="I428" s="70"/>
      <c r="J428" s="70"/>
      <c r="K428" s="70"/>
      <c r="L428" s="70"/>
      <c r="M428" s="70"/>
      <c r="N428" s="70"/>
      <c r="O428" s="70"/>
      <c r="P428" s="70"/>
      <c r="Q428" s="70"/>
      <c r="R428" s="70"/>
    </row>
    <row r="429" spans="1:18" s="538" customFormat="1" x14ac:dyDescent="0.25">
      <c r="A429" s="70"/>
      <c r="B429" s="70"/>
      <c r="C429" s="70"/>
      <c r="D429" s="70"/>
      <c r="E429" s="70"/>
      <c r="F429" s="539"/>
      <c r="G429" s="71"/>
      <c r="H429" s="70"/>
      <c r="I429" s="70"/>
      <c r="J429" s="70"/>
      <c r="K429" s="70"/>
      <c r="L429" s="70"/>
      <c r="M429" s="70"/>
      <c r="N429" s="70"/>
      <c r="O429" s="70"/>
      <c r="P429" s="70"/>
      <c r="Q429" s="70"/>
      <c r="R429" s="70"/>
    </row>
    <row r="430" spans="1:18" s="538" customFormat="1" x14ac:dyDescent="0.25">
      <c r="A430" s="70"/>
      <c r="B430" s="70"/>
      <c r="C430" s="70"/>
      <c r="D430" s="70"/>
      <c r="E430" s="70"/>
      <c r="F430" s="539"/>
      <c r="G430" s="71"/>
      <c r="H430" s="70"/>
      <c r="I430" s="70"/>
      <c r="J430" s="70"/>
      <c r="K430" s="70"/>
      <c r="L430" s="70"/>
      <c r="M430" s="70"/>
      <c r="N430" s="70"/>
      <c r="O430" s="70"/>
      <c r="P430" s="70"/>
      <c r="Q430" s="70"/>
      <c r="R430" s="70"/>
    </row>
    <row r="431" spans="1:18" s="538" customFormat="1" x14ac:dyDescent="0.25">
      <c r="A431" s="70"/>
      <c r="B431" s="70"/>
      <c r="C431" s="70"/>
      <c r="D431" s="70"/>
      <c r="E431" s="70"/>
      <c r="F431" s="539"/>
      <c r="G431" s="71"/>
      <c r="H431" s="70"/>
      <c r="I431" s="70"/>
      <c r="J431" s="70"/>
      <c r="K431" s="70"/>
      <c r="L431" s="70"/>
      <c r="M431" s="70"/>
      <c r="N431" s="70"/>
      <c r="O431" s="70"/>
      <c r="P431" s="70"/>
      <c r="Q431" s="70"/>
      <c r="R431" s="70"/>
    </row>
    <row r="432" spans="1:18" s="538" customFormat="1" x14ac:dyDescent="0.25">
      <c r="A432" s="70"/>
      <c r="B432" s="70"/>
      <c r="C432" s="70"/>
      <c r="D432" s="70"/>
      <c r="E432" s="70"/>
      <c r="F432" s="539"/>
      <c r="G432" s="71"/>
      <c r="H432" s="70"/>
      <c r="I432" s="70"/>
      <c r="J432" s="70"/>
      <c r="K432" s="70"/>
      <c r="L432" s="70"/>
      <c r="M432" s="70"/>
      <c r="N432" s="70"/>
      <c r="O432" s="70"/>
      <c r="P432" s="70"/>
      <c r="Q432" s="70"/>
      <c r="R432" s="70"/>
    </row>
    <row r="433" spans="1:18" s="538" customFormat="1" x14ac:dyDescent="0.25">
      <c r="A433" s="70"/>
      <c r="B433" s="70"/>
      <c r="C433" s="70"/>
      <c r="D433" s="70"/>
      <c r="E433" s="70"/>
      <c r="F433" s="539"/>
      <c r="G433" s="71"/>
      <c r="H433" s="70"/>
      <c r="I433" s="70"/>
      <c r="J433" s="70"/>
      <c r="K433" s="70"/>
      <c r="L433" s="70"/>
      <c r="M433" s="70"/>
      <c r="N433" s="70"/>
      <c r="O433" s="70"/>
      <c r="P433" s="70"/>
      <c r="Q433" s="70"/>
      <c r="R433" s="70"/>
    </row>
    <row r="434" spans="1:18" s="538" customFormat="1" x14ac:dyDescent="0.25">
      <c r="A434" s="70"/>
      <c r="B434" s="70"/>
      <c r="C434" s="70"/>
      <c r="D434" s="70"/>
      <c r="E434" s="70"/>
      <c r="F434" s="539"/>
      <c r="G434" s="71"/>
      <c r="H434" s="70"/>
      <c r="I434" s="70"/>
      <c r="J434" s="70"/>
      <c r="K434" s="70"/>
      <c r="L434" s="70"/>
      <c r="M434" s="70"/>
      <c r="N434" s="70"/>
      <c r="O434" s="70"/>
      <c r="P434" s="70"/>
      <c r="Q434" s="70"/>
      <c r="R434" s="70"/>
    </row>
    <row r="435" spans="1:18" s="538" customFormat="1" x14ac:dyDescent="0.25">
      <c r="A435" s="70"/>
      <c r="B435" s="70"/>
      <c r="C435" s="70"/>
      <c r="D435" s="70"/>
      <c r="E435" s="70"/>
      <c r="F435" s="539"/>
      <c r="G435" s="71"/>
      <c r="H435" s="70"/>
      <c r="I435" s="70"/>
      <c r="J435" s="70"/>
      <c r="K435" s="70"/>
      <c r="L435" s="70"/>
      <c r="M435" s="70"/>
      <c r="N435" s="70"/>
      <c r="O435" s="70"/>
      <c r="P435" s="70"/>
      <c r="Q435" s="70"/>
      <c r="R435" s="70"/>
    </row>
    <row r="436" spans="1:18" s="538" customFormat="1" x14ac:dyDescent="0.25">
      <c r="A436" s="70"/>
      <c r="B436" s="70"/>
      <c r="C436" s="70"/>
      <c r="D436" s="70"/>
      <c r="E436" s="70"/>
      <c r="F436" s="539"/>
      <c r="G436" s="71"/>
      <c r="H436" s="70"/>
      <c r="I436" s="70"/>
      <c r="J436" s="70"/>
      <c r="K436" s="70"/>
      <c r="L436" s="70"/>
      <c r="M436" s="70"/>
      <c r="N436" s="70"/>
      <c r="O436" s="70"/>
      <c r="P436" s="70"/>
      <c r="Q436" s="70"/>
      <c r="R436" s="70"/>
    </row>
    <row r="437" spans="1:18" s="538" customFormat="1" x14ac:dyDescent="0.25">
      <c r="A437" s="70"/>
      <c r="B437" s="70"/>
      <c r="C437" s="70"/>
      <c r="D437" s="70"/>
      <c r="E437" s="70"/>
      <c r="F437" s="539"/>
      <c r="G437" s="71"/>
      <c r="H437" s="70"/>
      <c r="I437" s="70"/>
      <c r="J437" s="70"/>
      <c r="K437" s="70"/>
      <c r="L437" s="70"/>
      <c r="M437" s="70"/>
      <c r="N437" s="70"/>
      <c r="O437" s="70"/>
      <c r="P437" s="70"/>
      <c r="Q437" s="70"/>
      <c r="R437" s="70"/>
    </row>
    <row r="438" spans="1:18" s="538" customFormat="1" x14ac:dyDescent="0.25">
      <c r="A438" s="70"/>
      <c r="B438" s="70"/>
      <c r="C438" s="70"/>
      <c r="D438" s="70"/>
      <c r="E438" s="70"/>
      <c r="F438" s="539"/>
      <c r="G438" s="71"/>
      <c r="H438" s="70"/>
      <c r="I438" s="70"/>
      <c r="J438" s="70"/>
      <c r="K438" s="70"/>
      <c r="L438" s="70"/>
      <c r="M438" s="70"/>
      <c r="N438" s="70"/>
      <c r="O438" s="70"/>
      <c r="P438" s="70"/>
      <c r="Q438" s="70"/>
      <c r="R438" s="70"/>
    </row>
    <row r="439" spans="1:18" s="538" customFormat="1" x14ac:dyDescent="0.25">
      <c r="A439" s="70"/>
      <c r="B439" s="70"/>
      <c r="C439" s="70"/>
      <c r="D439" s="70"/>
      <c r="E439" s="70"/>
      <c r="F439" s="539"/>
      <c r="G439" s="71"/>
      <c r="H439" s="70"/>
      <c r="I439" s="70"/>
      <c r="J439" s="70"/>
      <c r="K439" s="70"/>
      <c r="L439" s="70"/>
      <c r="M439" s="70"/>
      <c r="N439" s="70"/>
      <c r="O439" s="70"/>
      <c r="P439" s="70"/>
      <c r="Q439" s="70"/>
      <c r="R439" s="70"/>
    </row>
    <row r="440" spans="1:18" s="538" customFormat="1" x14ac:dyDescent="0.25">
      <c r="A440" s="70"/>
      <c r="B440" s="70"/>
      <c r="C440" s="70"/>
      <c r="D440" s="70"/>
      <c r="E440" s="70"/>
      <c r="F440" s="539"/>
      <c r="G440" s="71"/>
      <c r="H440" s="70"/>
      <c r="I440" s="70"/>
      <c r="J440" s="70"/>
      <c r="K440" s="70"/>
      <c r="L440" s="70"/>
      <c r="M440" s="70"/>
      <c r="N440" s="70"/>
      <c r="O440" s="70"/>
      <c r="P440" s="70"/>
      <c r="Q440" s="70"/>
      <c r="R440" s="70"/>
    </row>
    <row r="441" spans="1:18" s="538" customFormat="1" x14ac:dyDescent="0.25">
      <c r="A441" s="70"/>
      <c r="B441" s="70"/>
      <c r="C441" s="70"/>
      <c r="D441" s="70"/>
      <c r="E441" s="70"/>
      <c r="F441" s="539"/>
      <c r="G441" s="71"/>
      <c r="H441" s="70"/>
      <c r="I441" s="70"/>
      <c r="J441" s="70"/>
      <c r="K441" s="70"/>
      <c r="L441" s="70"/>
      <c r="M441" s="70"/>
      <c r="N441" s="70"/>
      <c r="O441" s="70"/>
      <c r="P441" s="70"/>
      <c r="Q441" s="70"/>
      <c r="R441" s="70"/>
    </row>
    <row r="442" spans="1:18" s="538" customFormat="1" x14ac:dyDescent="0.25">
      <c r="A442" s="70"/>
      <c r="B442" s="70"/>
      <c r="C442" s="70"/>
      <c r="D442" s="70"/>
      <c r="E442" s="70"/>
      <c r="F442" s="539"/>
      <c r="G442" s="71"/>
      <c r="H442" s="70"/>
      <c r="I442" s="70"/>
      <c r="J442" s="70"/>
      <c r="K442" s="70"/>
      <c r="L442" s="70"/>
      <c r="M442" s="70"/>
      <c r="N442" s="70"/>
      <c r="O442" s="70"/>
      <c r="P442" s="70"/>
      <c r="Q442" s="70"/>
      <c r="R442" s="70"/>
    </row>
    <row r="443" spans="1:18" s="538" customFormat="1" x14ac:dyDescent="0.25">
      <c r="A443" s="70"/>
      <c r="B443" s="70"/>
      <c r="C443" s="70"/>
      <c r="D443" s="70"/>
      <c r="E443" s="70"/>
      <c r="F443" s="539"/>
      <c r="G443" s="71"/>
      <c r="H443" s="70"/>
      <c r="I443" s="70"/>
      <c r="J443" s="70"/>
      <c r="K443" s="70"/>
      <c r="L443" s="70"/>
      <c r="M443" s="70"/>
      <c r="N443" s="70"/>
      <c r="O443" s="70"/>
      <c r="P443" s="70"/>
      <c r="Q443" s="70"/>
      <c r="R443" s="70"/>
    </row>
    <row r="444" spans="1:18" s="538" customFormat="1" x14ac:dyDescent="0.25">
      <c r="A444" s="70"/>
      <c r="B444" s="70"/>
      <c r="C444" s="70"/>
      <c r="D444" s="70"/>
      <c r="E444" s="70"/>
      <c r="F444" s="539"/>
      <c r="G444" s="71"/>
      <c r="H444" s="70"/>
      <c r="I444" s="70"/>
      <c r="J444" s="70"/>
      <c r="K444" s="70"/>
      <c r="L444" s="70"/>
      <c r="M444" s="70"/>
      <c r="N444" s="70"/>
      <c r="O444" s="70"/>
      <c r="P444" s="70"/>
      <c r="Q444" s="70"/>
      <c r="R444" s="70"/>
    </row>
    <row r="445" spans="1:18" s="538" customFormat="1" x14ac:dyDescent="0.25">
      <c r="A445" s="70"/>
      <c r="B445" s="70"/>
      <c r="C445" s="70"/>
      <c r="D445" s="70"/>
      <c r="E445" s="70"/>
      <c r="F445" s="539"/>
      <c r="G445" s="71"/>
      <c r="H445" s="70"/>
      <c r="I445" s="70"/>
      <c r="J445" s="70"/>
      <c r="K445" s="70"/>
      <c r="L445" s="70"/>
      <c r="M445" s="70"/>
      <c r="N445" s="70"/>
      <c r="O445" s="70"/>
      <c r="P445" s="70"/>
      <c r="Q445" s="70"/>
      <c r="R445" s="70"/>
    </row>
    <row r="446" spans="1:18" s="538" customFormat="1" x14ac:dyDescent="0.25">
      <c r="A446" s="70"/>
      <c r="B446" s="70"/>
      <c r="C446" s="70"/>
      <c r="D446" s="70"/>
      <c r="E446" s="70"/>
      <c r="F446" s="539"/>
      <c r="G446" s="71"/>
      <c r="H446" s="70"/>
      <c r="I446" s="70"/>
      <c r="J446" s="70"/>
      <c r="K446" s="70"/>
      <c r="L446" s="70"/>
      <c r="M446" s="70"/>
      <c r="N446" s="70"/>
      <c r="O446" s="70"/>
      <c r="P446" s="70"/>
      <c r="Q446" s="70"/>
      <c r="R446" s="70"/>
    </row>
    <row r="447" spans="1:18" s="538" customFormat="1" x14ac:dyDescent="0.25">
      <c r="A447" s="70"/>
      <c r="B447" s="70"/>
      <c r="C447" s="70"/>
      <c r="D447" s="70"/>
      <c r="E447" s="70"/>
      <c r="F447" s="539"/>
      <c r="G447" s="71"/>
      <c r="H447" s="70"/>
      <c r="I447" s="70"/>
      <c r="J447" s="70"/>
      <c r="K447" s="70"/>
      <c r="L447" s="70"/>
      <c r="M447" s="70"/>
      <c r="N447" s="70"/>
      <c r="O447" s="70"/>
      <c r="P447" s="70"/>
      <c r="Q447" s="70"/>
      <c r="R447" s="70"/>
    </row>
    <row r="448" spans="1:18" s="538" customFormat="1" x14ac:dyDescent="0.25">
      <c r="A448" s="70"/>
      <c r="B448" s="70"/>
      <c r="C448" s="70"/>
      <c r="D448" s="70"/>
      <c r="E448" s="70"/>
      <c r="F448" s="539"/>
      <c r="G448" s="71"/>
      <c r="H448" s="70"/>
      <c r="I448" s="70"/>
      <c r="J448" s="70"/>
      <c r="K448" s="70"/>
      <c r="L448" s="70"/>
      <c r="M448" s="70"/>
      <c r="N448" s="70"/>
      <c r="O448" s="70"/>
      <c r="P448" s="70"/>
      <c r="Q448" s="70"/>
      <c r="R448" s="70"/>
    </row>
    <row r="449" spans="1:18" s="538" customFormat="1" x14ac:dyDescent="0.25">
      <c r="A449" s="70"/>
      <c r="B449" s="70"/>
      <c r="C449" s="70"/>
      <c r="D449" s="70"/>
      <c r="E449" s="70"/>
      <c r="F449" s="539"/>
      <c r="G449" s="71"/>
      <c r="H449" s="70"/>
      <c r="I449" s="70"/>
      <c r="J449" s="70"/>
      <c r="K449" s="70"/>
      <c r="L449" s="70"/>
      <c r="M449" s="70"/>
      <c r="N449" s="70"/>
      <c r="O449" s="70"/>
      <c r="P449" s="70"/>
      <c r="Q449" s="70"/>
      <c r="R449" s="70"/>
    </row>
    <row r="450" spans="1:18" s="538" customFormat="1" x14ac:dyDescent="0.25">
      <c r="A450" s="70"/>
      <c r="B450" s="70"/>
      <c r="C450" s="70"/>
      <c r="D450" s="70"/>
      <c r="E450" s="70"/>
      <c r="F450" s="539"/>
      <c r="G450" s="71"/>
      <c r="H450" s="70"/>
      <c r="I450" s="70"/>
      <c r="J450" s="70"/>
      <c r="K450" s="70"/>
      <c r="L450" s="70"/>
      <c r="M450" s="70"/>
      <c r="N450" s="70"/>
      <c r="O450" s="70"/>
      <c r="P450" s="70"/>
      <c r="Q450" s="70"/>
      <c r="R450" s="70"/>
    </row>
    <row r="451" spans="1:18" s="538" customFormat="1" x14ac:dyDescent="0.25">
      <c r="A451" s="70"/>
      <c r="B451" s="70"/>
      <c r="C451" s="70"/>
      <c r="D451" s="70"/>
      <c r="E451" s="70"/>
      <c r="F451" s="539"/>
      <c r="G451" s="71"/>
      <c r="H451" s="70"/>
      <c r="I451" s="70"/>
      <c r="J451" s="70"/>
      <c r="K451" s="70"/>
      <c r="L451" s="70"/>
      <c r="M451" s="70"/>
      <c r="N451" s="70"/>
      <c r="O451" s="70"/>
      <c r="P451" s="70"/>
      <c r="Q451" s="70"/>
      <c r="R451" s="70"/>
    </row>
    <row r="452" spans="1:18" s="538" customFormat="1" x14ac:dyDescent="0.25">
      <c r="A452" s="70"/>
      <c r="B452" s="70"/>
      <c r="C452" s="70"/>
      <c r="D452" s="70"/>
      <c r="E452" s="70"/>
      <c r="F452" s="539"/>
      <c r="G452" s="71"/>
      <c r="H452" s="70"/>
      <c r="I452" s="70"/>
      <c r="J452" s="70"/>
      <c r="K452" s="70"/>
      <c r="L452" s="70"/>
      <c r="M452" s="70"/>
      <c r="N452" s="70"/>
      <c r="O452" s="70"/>
      <c r="P452" s="70"/>
      <c r="Q452" s="70"/>
      <c r="R452" s="70"/>
    </row>
    <row r="453" spans="1:18" s="538" customFormat="1" x14ac:dyDescent="0.25">
      <c r="A453" s="70"/>
      <c r="B453" s="70"/>
      <c r="C453" s="70"/>
      <c r="D453" s="70"/>
      <c r="E453" s="70"/>
      <c r="F453" s="539"/>
      <c r="G453" s="71"/>
      <c r="H453" s="70"/>
      <c r="I453" s="70"/>
      <c r="J453" s="70"/>
      <c r="K453" s="70"/>
      <c r="L453" s="70"/>
      <c r="M453" s="70"/>
      <c r="N453" s="70"/>
      <c r="O453" s="70"/>
      <c r="P453" s="70"/>
      <c r="Q453" s="70"/>
      <c r="R453" s="70"/>
    </row>
    <row r="454" spans="1:18" s="538" customFormat="1" x14ac:dyDescent="0.25">
      <c r="A454" s="70"/>
      <c r="B454" s="70"/>
      <c r="C454" s="70"/>
      <c r="D454" s="70"/>
      <c r="E454" s="70"/>
      <c r="F454" s="539"/>
      <c r="G454" s="71"/>
      <c r="H454" s="70"/>
      <c r="I454" s="70"/>
      <c r="J454" s="70"/>
      <c r="K454" s="70"/>
      <c r="L454" s="70"/>
      <c r="M454" s="70"/>
      <c r="N454" s="70"/>
      <c r="O454" s="70"/>
      <c r="P454" s="70"/>
      <c r="Q454" s="70"/>
      <c r="R454" s="70"/>
    </row>
    <row r="455" spans="1:18" s="538" customFormat="1" x14ac:dyDescent="0.25">
      <c r="A455" s="70"/>
      <c r="B455" s="70"/>
      <c r="C455" s="70"/>
      <c r="D455" s="70"/>
      <c r="E455" s="70"/>
      <c r="F455" s="539"/>
      <c r="G455" s="71"/>
      <c r="H455" s="70"/>
      <c r="I455" s="70"/>
      <c r="J455" s="70"/>
      <c r="K455" s="70"/>
      <c r="L455" s="70"/>
      <c r="M455" s="70"/>
      <c r="N455" s="70"/>
      <c r="O455" s="70"/>
      <c r="P455" s="70"/>
      <c r="Q455" s="70"/>
      <c r="R455" s="70"/>
    </row>
    <row r="456" spans="1:18" s="538" customFormat="1" x14ac:dyDescent="0.25">
      <c r="A456" s="70"/>
      <c r="B456" s="70"/>
      <c r="C456" s="70"/>
      <c r="D456" s="70"/>
      <c r="E456" s="70"/>
      <c r="F456" s="539"/>
      <c r="G456" s="71"/>
      <c r="H456" s="70"/>
      <c r="I456" s="70"/>
      <c r="J456" s="70"/>
      <c r="K456" s="70"/>
      <c r="L456" s="70"/>
      <c r="M456" s="70"/>
      <c r="N456" s="70"/>
      <c r="O456" s="70"/>
      <c r="P456" s="70"/>
      <c r="Q456" s="70"/>
      <c r="R456" s="70"/>
    </row>
    <row r="457" spans="1:18" s="538" customFormat="1" x14ac:dyDescent="0.25">
      <c r="A457" s="70"/>
      <c r="B457" s="70"/>
      <c r="C457" s="70"/>
      <c r="D457" s="70"/>
      <c r="E457" s="70"/>
      <c r="F457" s="539"/>
      <c r="G457" s="71"/>
      <c r="H457" s="70"/>
      <c r="I457" s="70"/>
      <c r="J457" s="70"/>
      <c r="K457" s="70"/>
      <c r="L457" s="70"/>
      <c r="M457" s="70"/>
      <c r="N457" s="70"/>
      <c r="O457" s="70"/>
      <c r="P457" s="70"/>
      <c r="Q457" s="70"/>
      <c r="R457" s="70"/>
    </row>
    <row r="458" spans="1:18" s="538" customFormat="1" x14ac:dyDescent="0.25">
      <c r="A458" s="70"/>
      <c r="B458" s="70"/>
      <c r="C458" s="70"/>
      <c r="D458" s="70"/>
      <c r="E458" s="70"/>
      <c r="F458" s="539"/>
      <c r="G458" s="71"/>
      <c r="H458" s="70"/>
      <c r="I458" s="70"/>
      <c r="J458" s="70"/>
      <c r="K458" s="70"/>
      <c r="L458" s="70"/>
      <c r="M458" s="70"/>
      <c r="N458" s="70"/>
      <c r="O458" s="70"/>
      <c r="P458" s="70"/>
      <c r="Q458" s="70"/>
      <c r="R458" s="70"/>
    </row>
    <row r="459" spans="1:18" s="538" customFormat="1" x14ac:dyDescent="0.25">
      <c r="A459" s="70"/>
      <c r="B459" s="70"/>
      <c r="C459" s="70"/>
      <c r="D459" s="70"/>
      <c r="E459" s="70"/>
      <c r="F459" s="539"/>
      <c r="G459" s="71"/>
      <c r="H459" s="70"/>
      <c r="I459" s="70"/>
      <c r="J459" s="70"/>
      <c r="K459" s="70"/>
      <c r="L459" s="70"/>
      <c r="M459" s="70"/>
      <c r="N459" s="70"/>
      <c r="O459" s="70"/>
      <c r="P459" s="70"/>
      <c r="Q459" s="70"/>
      <c r="R459" s="70"/>
    </row>
    <row r="460" spans="1:18" s="538" customFormat="1" x14ac:dyDescent="0.25">
      <c r="A460" s="70"/>
      <c r="B460" s="70"/>
      <c r="C460" s="70"/>
      <c r="D460" s="70"/>
      <c r="E460" s="70"/>
      <c r="F460" s="539"/>
      <c r="G460" s="71"/>
      <c r="H460" s="70"/>
      <c r="I460" s="70"/>
      <c r="J460" s="70"/>
      <c r="K460" s="70"/>
      <c r="L460" s="70"/>
      <c r="M460" s="70"/>
      <c r="N460" s="70"/>
      <c r="O460" s="70"/>
      <c r="P460" s="70"/>
      <c r="Q460" s="70"/>
      <c r="R460" s="70"/>
    </row>
    <row r="461" spans="1:18" s="538" customFormat="1" x14ac:dyDescent="0.25">
      <c r="A461" s="70"/>
      <c r="B461" s="70"/>
      <c r="C461" s="70"/>
      <c r="D461" s="70"/>
      <c r="E461" s="70"/>
      <c r="F461" s="539"/>
      <c r="G461" s="71"/>
      <c r="H461" s="70"/>
      <c r="I461" s="70"/>
      <c r="J461" s="70"/>
      <c r="K461" s="70"/>
      <c r="L461" s="70"/>
      <c r="M461" s="70"/>
      <c r="N461" s="70"/>
      <c r="O461" s="70"/>
      <c r="P461" s="70"/>
      <c r="Q461" s="70"/>
      <c r="R461" s="70"/>
    </row>
    <row r="462" spans="1:18" s="538" customFormat="1" x14ac:dyDescent="0.25">
      <c r="A462" s="70"/>
      <c r="B462" s="70"/>
      <c r="C462" s="70"/>
      <c r="D462" s="70"/>
      <c r="E462" s="70"/>
      <c r="F462" s="539"/>
      <c r="G462" s="71"/>
      <c r="H462" s="70"/>
      <c r="I462" s="70"/>
      <c r="J462" s="70"/>
      <c r="K462" s="70"/>
      <c r="L462" s="70"/>
      <c r="M462" s="70"/>
      <c r="N462" s="70"/>
      <c r="O462" s="70"/>
      <c r="P462" s="70"/>
      <c r="Q462" s="70"/>
      <c r="R462" s="70"/>
    </row>
    <row r="463" spans="1:18" s="538" customFormat="1" x14ac:dyDescent="0.25">
      <c r="A463" s="70"/>
      <c r="B463" s="70"/>
      <c r="C463" s="70"/>
      <c r="D463" s="70"/>
      <c r="E463" s="70"/>
      <c r="F463" s="539"/>
      <c r="G463" s="71"/>
      <c r="H463" s="70"/>
      <c r="I463" s="70"/>
      <c r="J463" s="70"/>
      <c r="K463" s="70"/>
      <c r="L463" s="70"/>
      <c r="M463" s="70"/>
      <c r="N463" s="70"/>
      <c r="O463" s="70"/>
      <c r="P463" s="70"/>
      <c r="Q463" s="70"/>
      <c r="R463" s="70"/>
    </row>
    <row r="464" spans="1:18" s="538" customFormat="1" x14ac:dyDescent="0.25">
      <c r="A464" s="70"/>
      <c r="B464" s="70"/>
      <c r="C464" s="70"/>
      <c r="D464" s="70"/>
      <c r="E464" s="70"/>
      <c r="F464" s="539"/>
      <c r="G464" s="71"/>
      <c r="H464" s="70"/>
      <c r="I464" s="70"/>
      <c r="J464" s="70"/>
      <c r="K464" s="70"/>
      <c r="L464" s="70"/>
      <c r="M464" s="70"/>
      <c r="N464" s="70"/>
      <c r="O464" s="70"/>
      <c r="P464" s="70"/>
      <c r="Q464" s="70"/>
      <c r="R464" s="70"/>
    </row>
    <row r="465" spans="1:18" s="538" customFormat="1" x14ac:dyDescent="0.25">
      <c r="A465" s="70"/>
      <c r="B465" s="70"/>
      <c r="C465" s="70"/>
      <c r="D465" s="70"/>
      <c r="E465" s="70"/>
      <c r="F465" s="539"/>
      <c r="G465" s="71"/>
      <c r="H465" s="70"/>
      <c r="I465" s="70"/>
      <c r="J465" s="70"/>
      <c r="K465" s="70"/>
      <c r="L465" s="70"/>
      <c r="M465" s="70"/>
      <c r="N465" s="70"/>
      <c r="O465" s="70"/>
      <c r="P465" s="70"/>
      <c r="Q465" s="70"/>
      <c r="R465" s="70"/>
    </row>
    <row r="466" spans="1:18" s="538" customFormat="1" x14ac:dyDescent="0.25">
      <c r="A466" s="70"/>
      <c r="B466" s="70"/>
      <c r="C466" s="70"/>
      <c r="D466" s="70"/>
      <c r="E466" s="70"/>
      <c r="F466" s="539"/>
      <c r="G466" s="71"/>
      <c r="H466" s="70"/>
      <c r="I466" s="70"/>
      <c r="J466" s="70"/>
      <c r="K466" s="70"/>
      <c r="L466" s="70"/>
      <c r="M466" s="70"/>
      <c r="N466" s="70"/>
      <c r="O466" s="70"/>
      <c r="P466" s="70"/>
      <c r="Q466" s="70"/>
      <c r="R466" s="70"/>
    </row>
    <row r="467" spans="1:18" s="538" customFormat="1" x14ac:dyDescent="0.25">
      <c r="A467" s="70"/>
      <c r="B467" s="70"/>
      <c r="C467" s="70"/>
      <c r="D467" s="70"/>
      <c r="E467" s="70"/>
      <c r="F467" s="539"/>
      <c r="G467" s="71"/>
      <c r="H467" s="70"/>
      <c r="I467" s="70"/>
      <c r="J467" s="70"/>
      <c r="K467" s="70"/>
      <c r="L467" s="70"/>
      <c r="M467" s="70"/>
      <c r="N467" s="70"/>
      <c r="O467" s="70"/>
      <c r="P467" s="70"/>
      <c r="Q467" s="70"/>
      <c r="R467" s="70"/>
    </row>
    <row r="468" spans="1:18" s="538" customFormat="1" x14ac:dyDescent="0.25">
      <c r="A468" s="70"/>
      <c r="B468" s="70"/>
      <c r="C468" s="70"/>
      <c r="D468" s="70"/>
      <c r="E468" s="70"/>
      <c r="F468" s="539"/>
      <c r="G468" s="71"/>
      <c r="H468" s="70"/>
      <c r="I468" s="70"/>
      <c r="J468" s="70"/>
      <c r="K468" s="70"/>
      <c r="L468" s="70"/>
      <c r="M468" s="70"/>
      <c r="N468" s="70"/>
      <c r="O468" s="70"/>
      <c r="P468" s="70"/>
      <c r="Q468" s="70"/>
      <c r="R468" s="70"/>
    </row>
    <row r="469" spans="1:18" s="538" customFormat="1" x14ac:dyDescent="0.25">
      <c r="A469" s="70"/>
      <c r="B469" s="70"/>
      <c r="C469" s="70"/>
      <c r="D469" s="70"/>
      <c r="E469" s="70"/>
      <c r="F469" s="539"/>
      <c r="G469" s="71"/>
      <c r="H469" s="70"/>
      <c r="I469" s="70"/>
      <c r="J469" s="70"/>
      <c r="K469" s="70"/>
      <c r="L469" s="70"/>
      <c r="M469" s="70"/>
      <c r="N469" s="70"/>
      <c r="O469" s="70"/>
      <c r="P469" s="70"/>
      <c r="Q469" s="70"/>
      <c r="R469" s="70"/>
    </row>
    <row r="470" spans="1:18" s="538" customFormat="1" x14ac:dyDescent="0.25">
      <c r="A470" s="70"/>
      <c r="B470" s="70"/>
      <c r="C470" s="70"/>
      <c r="D470" s="70"/>
      <c r="E470" s="70"/>
      <c r="F470" s="539"/>
      <c r="G470" s="71"/>
      <c r="H470" s="70"/>
      <c r="I470" s="70"/>
      <c r="J470" s="70"/>
      <c r="K470" s="70"/>
      <c r="L470" s="70"/>
      <c r="M470" s="70"/>
      <c r="N470" s="70"/>
      <c r="O470" s="70"/>
      <c r="P470" s="70"/>
      <c r="Q470" s="70"/>
      <c r="R470" s="70"/>
    </row>
    <row r="471" spans="1:18" s="538" customFormat="1" x14ac:dyDescent="0.25">
      <c r="A471" s="70"/>
      <c r="B471" s="70"/>
      <c r="C471" s="70"/>
      <c r="D471" s="70"/>
      <c r="E471" s="70"/>
      <c r="F471" s="539"/>
      <c r="G471" s="71"/>
      <c r="H471" s="70"/>
      <c r="I471" s="70"/>
      <c r="J471" s="70"/>
      <c r="K471" s="70"/>
      <c r="L471" s="70"/>
      <c r="M471" s="70"/>
      <c r="N471" s="70"/>
      <c r="O471" s="70"/>
      <c r="P471" s="70"/>
      <c r="Q471" s="70"/>
      <c r="R471" s="70"/>
    </row>
    <row r="472" spans="1:18" s="538" customFormat="1" x14ac:dyDescent="0.25">
      <c r="A472" s="70"/>
      <c r="B472" s="70"/>
      <c r="C472" s="70"/>
      <c r="D472" s="70"/>
      <c r="E472" s="70"/>
      <c r="F472" s="539"/>
      <c r="G472" s="71"/>
      <c r="H472" s="70"/>
      <c r="I472" s="70"/>
      <c r="J472" s="70"/>
      <c r="K472" s="70"/>
      <c r="L472" s="70"/>
      <c r="M472" s="70"/>
      <c r="N472" s="70"/>
      <c r="O472" s="70"/>
      <c r="P472" s="70"/>
      <c r="Q472" s="70"/>
      <c r="R472" s="70"/>
    </row>
  </sheetData>
  <conditionalFormatting sqref="A4:F4">
    <cfRule type="expression" dxfId="103" priority="6">
      <formula>ISEVEN(ROW())</formula>
    </cfRule>
  </conditionalFormatting>
  <conditionalFormatting sqref="A6:F6 A8:F8 A10:F10 A12:F12 A14:F14 A16:F16 A18:F18 A20:F20 A22:F22 A24:F24 A26:F26 A28:F28 A30:F30 A32:F32 A34:F34 A36:F36 A38:F38 A40:F40 A42:F42 A44:F44 A46:F46 A48:F48 A50:F50 A52:F52 A54:F54 A56:F56 A58:F58 A60:F60 A62:F62 A64:F64 A66:F66 A68:F68 A70:F70 A72:F72">
    <cfRule type="expression" dxfId="102" priority="4">
      <formula>ISEVEN(ROW())</formula>
    </cfRule>
  </conditionalFormatting>
  <conditionalFormatting sqref="A5:F5 A7:F7 A9:F9 A11:F11 A13:F13 A15:F15 A17:F17 A19:F19 A21:F21 A23:F23 A25:F25 A27:F27 A29:F29 A31:F31 A33:F33 A35:F35 A37:F37 A39:F39 A41:F41 A43:F43 A45:F45 A47:F47 A49:F49 A51:F51 A53:F53 A55:F55 A57:F57 A59:F59 A61:F61 A63:F63 A65:F65 A67:F67 A69:F69 A71:F71 A73:F73">
    <cfRule type="expression" dxfId="101" priority="3">
      <formula>ISEVEN(ROW())</formula>
    </cfRule>
  </conditionalFormatting>
  <conditionalFormatting sqref="A3:F3">
    <cfRule type="expression" dxfId="100" priority="1">
      <formula>ISEVEN(ROW())</formula>
    </cfRule>
  </conditionalFormatting>
  <dataValidations count="3">
    <dataValidation type="list" allowBlank="1" sqref="B22:B73" xr:uid="{85978CB5-9773-4E06-ABC7-CE9487E7358E}">
      <formula1>AGENDA</formula1>
    </dataValidation>
    <dataValidation type="list" allowBlank="1" showInputMessage="1" promptTitle="Time Entry" prompt="Input Matter Number or select from dropdown." sqref="B4:B21 B3" xr:uid="{FE351B00-59BB-4380-B630-83A725AFE8B7}">
      <formula1>AGENDA</formula1>
    </dataValidation>
    <dataValidation type="list" allowBlank="1" showInputMessage="1" promptTitle="Time Entry" prompt="Input NARRATIVE or select from dropdown menu.                _x000a_" sqref="F4:F21 F3" xr:uid="{D7580B51-DE58-4AF8-8B96-01DE3ABF4AEA}">
      <formula1>Narratives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7" r:id="rId4" name="HideThisSheet">
          <controlPr defaultSize="0" autoLine="0" r:id="rId5">
            <anchor moveWithCells="1" sizeWithCells="1">
              <from>
                <xdr:col>4</xdr:col>
                <xdr:colOff>504825</xdr:colOff>
                <xdr:row>0</xdr:row>
                <xdr:rowOff>0</xdr:rowOff>
              </from>
              <to>
                <xdr:col>5</xdr:col>
                <xdr:colOff>5962650</xdr:colOff>
                <xdr:row>1</xdr:row>
                <xdr:rowOff>0</xdr:rowOff>
              </to>
            </anchor>
          </controlPr>
        </control>
      </mc:Choice>
      <mc:Fallback>
        <control shapeId="23557" r:id="rId4" name="HideThisSheet"/>
      </mc:Fallback>
    </mc:AlternateContent>
    <mc:AlternateContent xmlns:mc="http://schemas.openxmlformats.org/markup-compatibility/2006">
      <mc:Choice Requires="x14">
        <control shapeId="23558" r:id="rId6" name="SearchUpButton">
          <controlPr defaultSize="0" autoLine="0" r:id="rId7">
            <anchor moveWithCells="1" sizeWithCells="1">
              <from>
                <xdr:col>4</xdr:col>
                <xdr:colOff>0</xdr:colOff>
                <xdr:row>0</xdr:row>
                <xdr:rowOff>0</xdr:rowOff>
              </from>
              <to>
                <xdr:col>5</xdr:col>
                <xdr:colOff>0</xdr:colOff>
                <xdr:row>0</xdr:row>
                <xdr:rowOff>219075</xdr:rowOff>
              </to>
            </anchor>
          </controlPr>
        </control>
      </mc:Choice>
      <mc:Fallback>
        <control shapeId="23558" r:id="rId6" name="SearchUpButton"/>
      </mc:Fallback>
    </mc:AlternateContent>
    <mc:AlternateContent xmlns:mc="http://schemas.openxmlformats.org/markup-compatibility/2006">
      <mc:Choice Requires="x14">
        <control shapeId="23559" r:id="rId8" name="SearchDownButton">
          <controlPr defaultSize="0" autoLine="0" r:id="rId7">
            <anchor moveWithCells="1" sizeWithCells="1">
              <from>
                <xdr:col>4</xdr:col>
                <xdr:colOff>0</xdr:colOff>
                <xdr:row>0</xdr:row>
                <xdr:rowOff>219075</xdr:rowOff>
              </from>
              <to>
                <xdr:col>5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3559" r:id="rId8" name="SearchDownButton"/>
      </mc:Fallback>
    </mc:AlternateContent>
    <mc:AlternateContent xmlns:mc="http://schemas.openxmlformats.org/markup-compatibility/2006">
      <mc:Choice Requires="x14">
        <control shapeId="23560" r:id="rId9" name="UserSearch">
          <controlPr defaultSize="0" autoLine="0" autoPict="0" r:id="rId10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3560" r:id="rId9" name="UserSearch"/>
      </mc:Fallback>
    </mc:AlternateContent>
    <mc:AlternateContent xmlns:mc="http://schemas.openxmlformats.org/markup-compatibility/2006">
      <mc:Choice Requires="x14">
        <control shapeId="23561" r:id="rId11" name="TimeButton">
          <controlPr defaultSize="0" print="0" autoLine="0" autoPict="0" r:id="rId12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4</xdr:col>
                <xdr:colOff>504825</xdr:colOff>
                <xdr:row>2</xdr:row>
                <xdr:rowOff>0</xdr:rowOff>
              </to>
            </anchor>
          </controlPr>
        </control>
      </mc:Choice>
      <mc:Fallback>
        <control shapeId="23561" r:id="rId11" name="TimeButton"/>
      </mc:Fallback>
    </mc:AlternateContent>
    <mc:AlternateContent xmlns:mc="http://schemas.openxmlformats.org/markup-compatibility/2006">
      <mc:Choice Requires="x14">
        <control shapeId="23562" r:id="rId13" name="ShowHideSkinnyButton">
          <controlPr defaultSize="0" print="0" autoLine="0" r:id="rId14">
            <anchor moveWithCells="1" sizeWithCells="1">
              <from>
                <xdr:col>5</xdr:col>
                <xdr:colOff>561975</xdr:colOff>
                <xdr:row>1</xdr:row>
                <xdr:rowOff>0</xdr:rowOff>
              </from>
              <to>
                <xdr:col>6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23562" r:id="rId13" name="ShowHideSkinnyButton"/>
      </mc:Fallback>
    </mc:AlternateContent>
    <mc:AlternateContent xmlns:mc="http://schemas.openxmlformats.org/markup-compatibility/2006">
      <mc:Choice Requires="x14">
        <control shapeId="23563" r:id="rId15" name="FinishButton">
          <controlPr defaultSize="0" print="0" autoLine="0" autoPict="0" r:id="rId16">
            <anchor moveWithCells="1" sizeWithCells="1">
              <from>
                <xdr:col>3</xdr:col>
                <xdr:colOff>0</xdr:colOff>
                <xdr:row>1</xdr:row>
                <xdr:rowOff>0</xdr:rowOff>
              </from>
              <to>
                <xdr:col>4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23563" r:id="rId15" name="FinishButton"/>
      </mc:Fallback>
    </mc:AlternateContent>
    <mc:AlternateContent xmlns:mc="http://schemas.openxmlformats.org/markup-compatibility/2006">
      <mc:Choice Requires="x14">
        <control shapeId="23564" r:id="rId17" name="MatterNoButton">
          <controlPr defaultSize="0" print="0" autoLine="0" autoPict="0" r:id="rId18">
            <anchor moveWithCells="1" siz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23564" r:id="rId17" name="MatterNoButton"/>
      </mc:Fallback>
    </mc:AlternateContent>
    <mc:AlternateContent xmlns:mc="http://schemas.openxmlformats.org/markup-compatibility/2006">
      <mc:Choice Requires="x14">
        <control shapeId="23565" r:id="rId19" name="DateButton">
          <controlPr defaultSize="0" print="0" autoFill="0" autoLine="0" autoPict="0" r:id="rId16">
            <anchor moveWithCells="1" sizeWithCells="1">
              <from>
                <xdr:col>0</xdr:col>
                <xdr:colOff>0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23565" r:id="rId19" name="DateButton"/>
      </mc:Fallback>
    </mc:AlternateContent>
    <mc:AlternateContent xmlns:mc="http://schemas.openxmlformats.org/markup-compatibility/2006">
      <mc:Choice Requires="x14">
        <control shapeId="23566" r:id="rId20" name="StartButton">
          <controlPr defaultSize="0" print="0" autoLine="0" autoPict="0" r:id="rId21">
            <anchor moveWithCells="1" sizeWithCells="1">
              <from>
                <xdr:col>1</xdr:col>
                <xdr:colOff>904875</xdr:colOff>
                <xdr:row>1</xdr:row>
                <xdr:rowOff>0</xdr:rowOff>
              </from>
              <to>
                <xdr:col>2</xdr:col>
                <xdr:colOff>533400</xdr:colOff>
                <xdr:row>2</xdr:row>
                <xdr:rowOff>0</xdr:rowOff>
              </to>
            </anchor>
          </controlPr>
        </control>
      </mc:Choice>
      <mc:Fallback>
        <control shapeId="23566" r:id="rId20" name="StartButton"/>
      </mc:Fallback>
    </mc:AlternateContent>
    <mc:AlternateContent xmlns:mc="http://schemas.openxmlformats.org/markup-compatibility/2006">
      <mc:Choice Requires="x14">
        <control shapeId="23567" r:id="rId22" name="RowUnhide">
          <controlPr defaultSize="0" print="0" autoLine="0" r:id="rId23">
            <anchor moveWithCells="1">
              <from>
                <xdr:col>5</xdr:col>
                <xdr:colOff>0</xdr:colOff>
                <xdr:row>0</xdr:row>
                <xdr:rowOff>438150</xdr:rowOff>
              </from>
              <to>
                <xdr:col>5</xdr:col>
                <xdr:colOff>285750</xdr:colOff>
                <xdr:row>2</xdr:row>
                <xdr:rowOff>0</xdr:rowOff>
              </to>
            </anchor>
          </controlPr>
        </control>
      </mc:Choice>
      <mc:Fallback>
        <control shapeId="23567" r:id="rId22" name="RowUnhide"/>
      </mc:Fallback>
    </mc:AlternateContent>
    <mc:AlternateContent xmlns:mc="http://schemas.openxmlformats.org/markup-compatibility/2006">
      <mc:Choice Requires="x14">
        <control shapeId="23568" r:id="rId24" name="RowHide">
          <controlPr defaultSize="0" print="0" autoLine="0" r:id="rId25">
            <anchor moveWithCells="1">
              <from>
                <xdr:col>5</xdr:col>
                <xdr:colOff>285750</xdr:colOff>
                <xdr:row>0</xdr:row>
                <xdr:rowOff>438150</xdr:rowOff>
              </from>
              <to>
                <xdr:col>5</xdr:col>
                <xdr:colOff>561975</xdr:colOff>
                <xdr:row>2</xdr:row>
                <xdr:rowOff>0</xdr:rowOff>
              </to>
            </anchor>
          </controlPr>
        </control>
      </mc:Choice>
      <mc:Fallback>
        <control shapeId="23568" r:id="rId24" name="RowHid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AB998412-59CF-4B8F-9EEC-DBFBA7856F00}">
          <x14:formula1>
            <xm:f>Narratives!#REF!</xm:f>
          </x14:formula1>
          <xm:sqref>F22:F73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DD56B-0767-4D13-B321-C6742E55741A}">
  <sheetPr codeName="Sheet1C">
    <tabColor theme="0"/>
  </sheetPr>
  <dimension ref="C1:D22"/>
  <sheetViews>
    <sheetView showGridLines="0" zoomScale="93" zoomScaleNormal="93" workbookViewId="0">
      <pane ySplit="1" topLeftCell="A2" activePane="bottomLeft" state="frozenSplit"/>
      <selection activeCell="B1" sqref="B1"/>
      <selection pane="bottomLeft"/>
    </sheetView>
  </sheetViews>
  <sheetFormatPr defaultColWidth="9.140625" defaultRowHeight="15" x14ac:dyDescent="0.25"/>
  <cols>
    <col min="1" max="1" width="0" style="90" hidden="1" customWidth="1"/>
    <col min="2" max="2" width="9.140625" style="90"/>
    <col min="3" max="3" width="122.28515625" style="90" customWidth="1"/>
    <col min="4" max="4" width="9.140625" style="90"/>
    <col min="5" max="5" width="28.28515625" style="90" customWidth="1"/>
    <col min="6" max="16384" width="9.140625" style="90"/>
  </cols>
  <sheetData>
    <row r="1" spans="3:4" ht="24" customHeight="1" x14ac:dyDescent="0.25"/>
    <row r="2" spans="3:4" s="88" customFormat="1" x14ac:dyDescent="0.25">
      <c r="C2" s="91" t="s">
        <v>183</v>
      </c>
      <c r="D2" s="89"/>
    </row>
    <row r="3" spans="3:4" s="88" customFormat="1" x14ac:dyDescent="0.25">
      <c r="C3" s="91" t="s">
        <v>184</v>
      </c>
      <c r="D3" s="89"/>
    </row>
    <row r="4" spans="3:4" s="88" customFormat="1" x14ac:dyDescent="0.25">
      <c r="C4" s="91" t="s">
        <v>185</v>
      </c>
      <c r="D4" s="89"/>
    </row>
    <row r="5" spans="3:4" s="88" customFormat="1" x14ac:dyDescent="0.25">
      <c r="C5" s="91" t="s">
        <v>186</v>
      </c>
      <c r="D5" s="89"/>
    </row>
    <row r="6" spans="3:4" s="88" customFormat="1" x14ac:dyDescent="0.25">
      <c r="C6" s="91" t="s">
        <v>187</v>
      </c>
      <c r="D6" s="89"/>
    </row>
    <row r="7" spans="3:4" s="88" customFormat="1" x14ac:dyDescent="0.25">
      <c r="C7" s="91" t="s">
        <v>188</v>
      </c>
      <c r="D7" s="89"/>
    </row>
    <row r="8" spans="3:4" s="88" customFormat="1" x14ac:dyDescent="0.25">
      <c r="C8" s="91" t="s">
        <v>189</v>
      </c>
      <c r="D8" s="89"/>
    </row>
    <row r="9" spans="3:4" s="88" customFormat="1" x14ac:dyDescent="0.25">
      <c r="C9" s="91" t="s">
        <v>190</v>
      </c>
      <c r="D9" s="89"/>
    </row>
    <row r="10" spans="3:4" s="88" customFormat="1" x14ac:dyDescent="0.25">
      <c r="C10" s="91" t="s">
        <v>191</v>
      </c>
      <c r="D10" s="89"/>
    </row>
    <row r="11" spans="3:4" s="88" customFormat="1" x14ac:dyDescent="0.25">
      <c r="C11" s="91" t="s">
        <v>192</v>
      </c>
      <c r="D11" s="89"/>
    </row>
    <row r="12" spans="3:4" s="88" customFormat="1" x14ac:dyDescent="0.25">
      <c r="C12" s="92" t="s">
        <v>164</v>
      </c>
      <c r="D12" s="89"/>
    </row>
    <row r="13" spans="3:4" s="88" customFormat="1" x14ac:dyDescent="0.25">
      <c r="C13" s="91" t="s">
        <v>193</v>
      </c>
      <c r="D13" s="89"/>
    </row>
    <row r="14" spans="3:4" s="88" customFormat="1" x14ac:dyDescent="0.25">
      <c r="C14" s="91" t="s">
        <v>194</v>
      </c>
      <c r="D14" s="89"/>
    </row>
    <row r="15" spans="3:4" s="88" customFormat="1" x14ac:dyDescent="0.25">
      <c r="C15" s="91" t="s">
        <v>195</v>
      </c>
      <c r="D15" s="89"/>
    </row>
    <row r="16" spans="3:4" s="88" customFormat="1" x14ac:dyDescent="0.25">
      <c r="C16" s="91" t="s">
        <v>196</v>
      </c>
    </row>
    <row r="17" spans="3:4" s="88" customFormat="1" x14ac:dyDescent="0.25">
      <c r="C17" s="93" t="s">
        <v>197</v>
      </c>
    </row>
    <row r="18" spans="3:4" s="88" customFormat="1" x14ac:dyDescent="0.25">
      <c r="C18" s="93" t="s">
        <v>198</v>
      </c>
    </row>
    <row r="19" spans="3:4" s="88" customFormat="1" x14ac:dyDescent="0.25">
      <c r="C19" s="91" t="s">
        <v>199</v>
      </c>
      <c r="D19" s="89"/>
    </row>
    <row r="20" spans="3:4" s="88" customFormat="1" x14ac:dyDescent="0.25">
      <c r="C20" s="91" t="s">
        <v>200</v>
      </c>
      <c r="D20" s="89"/>
    </row>
    <row r="21" spans="3:4" s="88" customFormat="1" x14ac:dyDescent="0.25">
      <c r="C21" s="91" t="s">
        <v>201</v>
      </c>
      <c r="D21" s="89"/>
    </row>
    <row r="22" spans="3:4" s="88" customFormat="1" x14ac:dyDescent="0.25">
      <c r="C22" s="91" t="s">
        <v>202</v>
      </c>
      <c r="D22" s="89"/>
    </row>
  </sheetData>
  <dataValidations count="1">
    <dataValidation allowBlank="1" showInputMessage="1" showErrorMessage="1" sqref="C16:C17" xr:uid="{00000000-0002-0000-0100-000000000000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HideThisSheet">
          <controlPr defaultSize="0" autoLine="0" autoPict="0" r:id="rId5">
            <anchor moveWithCells="1" sizeWithCells="1">
              <from>
                <xdr:col>2</xdr:col>
                <xdr:colOff>0</xdr:colOff>
                <xdr:row>0</xdr:row>
                <xdr:rowOff>0</xdr:rowOff>
              </from>
              <to>
                <xdr:col>3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1505" r:id="rId4" name="HideThisShe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20302-C841-40D8-BA4F-5CF47D1C9CF2}">
  <sheetPr codeName="Sheet6">
    <tabColor rgb="FF860000"/>
  </sheetPr>
  <dimension ref="A1:D24"/>
  <sheetViews>
    <sheetView showGridLines="0" showRowColHeaders="0" zoomScale="69" zoomScaleNormal="69" workbookViewId="0">
      <selection activeCell="G25" sqref="G25"/>
    </sheetView>
  </sheetViews>
  <sheetFormatPr defaultColWidth="9.140625" defaultRowHeight="16.5" x14ac:dyDescent="0.3"/>
  <cols>
    <col min="1" max="1" width="18.5703125" style="28" customWidth="1"/>
    <col min="2" max="2" width="51.7109375" style="28" customWidth="1"/>
    <col min="3" max="3" width="10.28515625" style="28" customWidth="1"/>
    <col min="4" max="6" width="9.140625" style="28"/>
    <col min="7" max="7" width="143.7109375" style="28" customWidth="1"/>
    <col min="8" max="16384" width="9.140625" style="28"/>
  </cols>
  <sheetData>
    <row r="1" spans="1:4" ht="18.75" customHeight="1" x14ac:dyDescent="0.3"/>
    <row r="2" spans="1:4" ht="31.5" customHeight="1" x14ac:dyDescent="0.3">
      <c r="A2" s="29"/>
      <c r="B2" s="30"/>
      <c r="C2" s="30"/>
      <c r="D2" s="29"/>
    </row>
    <row r="3" spans="1:4" x14ac:dyDescent="0.3">
      <c r="B3" s="85" t="s">
        <v>87</v>
      </c>
      <c r="C3" s="85" t="s">
        <v>128</v>
      </c>
    </row>
    <row r="4" spans="1:4" x14ac:dyDescent="0.3">
      <c r="B4" s="85" t="s">
        <v>115</v>
      </c>
      <c r="C4" s="85" t="s">
        <v>91</v>
      </c>
    </row>
    <row r="5" spans="1:4" x14ac:dyDescent="0.3">
      <c r="B5" s="85" t="s">
        <v>117</v>
      </c>
      <c r="C5" s="85" t="s">
        <v>90</v>
      </c>
    </row>
    <row r="6" spans="1:4" x14ac:dyDescent="0.3">
      <c r="B6" s="85" t="s">
        <v>127</v>
      </c>
      <c r="C6" s="85" t="s">
        <v>97</v>
      </c>
    </row>
    <row r="7" spans="1:4" x14ac:dyDescent="0.3">
      <c r="B7" s="85" t="s">
        <v>74</v>
      </c>
      <c r="C7" s="87" t="s">
        <v>89</v>
      </c>
    </row>
    <row r="8" spans="1:4" x14ac:dyDescent="0.3">
      <c r="B8" s="85" t="s">
        <v>71</v>
      </c>
    </row>
    <row r="9" spans="1:4" x14ac:dyDescent="0.3">
      <c r="B9" s="85" t="s">
        <v>81</v>
      </c>
    </row>
    <row r="10" spans="1:4" x14ac:dyDescent="0.3">
      <c r="B10" s="85" t="s">
        <v>126</v>
      </c>
    </row>
    <row r="11" spans="1:4" ht="16.5" customHeight="1" x14ac:dyDescent="0.3">
      <c r="B11" s="86" t="s">
        <v>125</v>
      </c>
      <c r="C11" s="84"/>
    </row>
    <row r="12" spans="1:4" x14ac:dyDescent="0.3">
      <c r="B12" s="85" t="s">
        <v>124</v>
      </c>
    </row>
    <row r="13" spans="1:4" x14ac:dyDescent="0.3">
      <c r="B13" s="85" t="s">
        <v>77</v>
      </c>
    </row>
    <row r="14" spans="1:4" x14ac:dyDescent="0.3">
      <c r="B14" s="85" t="s">
        <v>85</v>
      </c>
    </row>
    <row r="15" spans="1:4" x14ac:dyDescent="0.3">
      <c r="B15" s="85" t="s">
        <v>80</v>
      </c>
    </row>
    <row r="16" spans="1:4" x14ac:dyDescent="0.3">
      <c r="B16" s="85" t="s">
        <v>151</v>
      </c>
    </row>
    <row r="17" spans="2:2" x14ac:dyDescent="0.3">
      <c r="B17" s="85" t="s">
        <v>86</v>
      </c>
    </row>
    <row r="18" spans="2:2" x14ac:dyDescent="0.3">
      <c r="B18" s="85" t="s">
        <v>123</v>
      </c>
    </row>
    <row r="19" spans="2:2" x14ac:dyDescent="0.3">
      <c r="B19" s="85" t="s">
        <v>78</v>
      </c>
    </row>
    <row r="20" spans="2:2" x14ac:dyDescent="0.3">
      <c r="B20" s="85" t="s">
        <v>122</v>
      </c>
    </row>
    <row r="21" spans="2:2" x14ac:dyDescent="0.3">
      <c r="B21" s="85" t="s">
        <v>121</v>
      </c>
    </row>
    <row r="22" spans="2:2" x14ac:dyDescent="0.3">
      <c r="B22" s="85" t="s">
        <v>116</v>
      </c>
    </row>
    <row r="23" spans="2:2" x14ac:dyDescent="0.3">
      <c r="B23" s="85" t="s">
        <v>120</v>
      </c>
    </row>
    <row r="24" spans="2:2" x14ac:dyDescent="0.3">
      <c r="B24" s="85" t="s">
        <v>73</v>
      </c>
    </row>
  </sheetData>
  <conditionalFormatting sqref="B4:B5 B13:B24 B7:B10">
    <cfRule type="expression" priority="13" stopIfTrue="1">
      <formula>ISNUMBER(SEARCH("Payroll Submissions for",#REF!))</formula>
    </cfRule>
    <cfRule type="expression" dxfId="99" priority="14">
      <formula>AND(ISTEXT(#REF!),ISEVEN(ROW()))</formula>
    </cfRule>
  </conditionalFormatting>
  <conditionalFormatting sqref="B21">
    <cfRule type="expression" priority="11" stopIfTrue="1">
      <formula>ISNUMBER(SEARCH("Payroll Submissions for",#REF!))</formula>
    </cfRule>
    <cfRule type="expression" dxfId="98" priority="12">
      <formula>AND(ISTEXT(#REF!),ISEVEN(ROW()))</formula>
    </cfRule>
  </conditionalFormatting>
  <conditionalFormatting sqref="B6">
    <cfRule type="expression" priority="9" stopIfTrue="1">
      <formula>ISNUMBER(SEARCH("Payroll Submissions for",#REF!))</formula>
    </cfRule>
    <cfRule type="expression" dxfId="97" priority="10">
      <formula>AND(ISTEXT(#REF!),ISEVEN(ROW()))</formula>
    </cfRule>
  </conditionalFormatting>
  <conditionalFormatting sqref="B12">
    <cfRule type="expression" priority="7" stopIfTrue="1">
      <formula>ISNUMBER(SEARCH("Payroll Submissions for",#REF!))</formula>
    </cfRule>
    <cfRule type="expression" dxfId="96" priority="8">
      <formula>AND(ISTEXT(#REF!),ISEVEN(ROW()))</formula>
    </cfRule>
  </conditionalFormatting>
  <conditionalFormatting sqref="B11">
    <cfRule type="expression" priority="5" stopIfTrue="1">
      <formula>ISNUMBER(SEARCH("Payroll Submissions for",#REF!))</formula>
    </cfRule>
    <cfRule type="expression" dxfId="95" priority="6">
      <formula>AND(ISTEXT(#REF!),ISEVEN(ROW()))</formula>
    </cfRule>
  </conditionalFormatting>
  <conditionalFormatting sqref="B3">
    <cfRule type="expression" priority="1" stopIfTrue="1">
      <formula>ISNUMBER(SEARCH("Payroll Submissions for",#REF!))</formula>
    </cfRule>
    <cfRule type="expression" dxfId="94" priority="2">
      <formula>AND(ISTEXT(#REF!),ISEVEN(ROW()))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CATEGORY_BUTTON">
          <controlPr defaultSize="0" autoLine="0" r:id="rId5">
            <anchor moveWithCells="1" siz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6146" r:id="rId4" name="CATEGORY_BUTTON"/>
      </mc:Fallback>
    </mc:AlternateContent>
    <mc:AlternateContent xmlns:mc="http://schemas.openxmlformats.org/markup-compatibility/2006">
      <mc:Choice Requires="x14">
        <control shapeId="6147" r:id="rId6" name="TYPE_BUTTON">
          <controlPr defaultSize="0" autoLine="0" r:id="rId7">
            <anchor moveWithCells="1" sizeWithCells="1">
              <from>
                <xdr:col>2</xdr:col>
                <xdr:colOff>0</xdr:colOff>
                <xdr:row>1</xdr:row>
                <xdr:rowOff>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6147" r:id="rId6" name="TYPE_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4A421-EB77-4B46-9B30-609463D169CF}">
  <sheetPr codeName="Sheet5">
    <tabColor rgb="FF466166"/>
  </sheetPr>
  <dimension ref="A1:AA280"/>
  <sheetViews>
    <sheetView showGridLines="0" tabSelected="1" zoomScale="89" zoomScaleNormal="89" workbookViewId="0">
      <pane ySplit="4" topLeftCell="A5" activePane="bottomLeft" state="frozenSplit"/>
      <selection sqref="A1 D26"/>
      <selection pane="bottomLeft" activeCell="A5" sqref="A5"/>
    </sheetView>
  </sheetViews>
  <sheetFormatPr defaultColWidth="9.140625" defaultRowHeight="15" x14ac:dyDescent="0.25"/>
  <cols>
    <col min="1" max="1" width="17.140625" style="133" customWidth="1"/>
    <col min="2" max="2" width="73.42578125" style="133" customWidth="1"/>
    <col min="3" max="4" width="7" style="133" customWidth="1"/>
    <col min="5" max="5" width="6.140625" style="130" customWidth="1"/>
    <col min="6" max="6" width="3.28515625" style="16" customWidth="1"/>
    <col min="7" max="7" width="36.28515625" style="181" customWidth="1"/>
    <col min="8" max="8" width="38" style="14" customWidth="1"/>
    <col min="9" max="9" width="26" style="14" customWidth="1"/>
    <col min="10" max="10" width="18.85546875" style="14" customWidth="1"/>
    <col min="11" max="11" width="9.140625" style="14"/>
    <col min="12" max="12" width="14" style="13" customWidth="1"/>
    <col min="13" max="13" width="2.140625" style="13" customWidth="1"/>
    <col min="14" max="15" width="9.140625" style="13" customWidth="1"/>
    <col min="16" max="16" width="20.42578125" style="13" customWidth="1"/>
    <col min="17" max="16384" width="9.140625" style="13"/>
  </cols>
  <sheetData>
    <row r="1" spans="1:27" ht="19.5" customHeight="1" x14ac:dyDescent="0.25">
      <c r="C1" s="134"/>
      <c r="E1" s="124"/>
      <c r="H1" s="27"/>
      <c r="I1" s="27"/>
      <c r="J1" s="20"/>
      <c r="K1" s="19"/>
      <c r="L1" s="19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>
        <v>1</v>
      </c>
      <c r="AA1" s="15">
        <v>0</v>
      </c>
    </row>
    <row r="2" spans="1:27" s="24" customFormat="1" hidden="1" collapsed="1" x14ac:dyDescent="0.25">
      <c r="A2" s="135"/>
      <c r="B2" s="136"/>
      <c r="C2" s="137"/>
      <c r="D2" s="138"/>
      <c r="E2" s="125"/>
      <c r="F2" s="16"/>
      <c r="G2" s="181"/>
      <c r="H2" s="21"/>
      <c r="I2" s="21"/>
      <c r="J2" s="26"/>
      <c r="K2" s="26"/>
      <c r="L2" s="25"/>
      <c r="M2" s="25"/>
      <c r="N2" s="25"/>
      <c r="O2" s="25"/>
      <c r="P2" s="25"/>
      <c r="Q2" s="25"/>
      <c r="R2" s="25"/>
      <c r="S2" s="25"/>
    </row>
    <row r="3" spans="1:27" s="24" customFormat="1" hidden="1" collapsed="1" x14ac:dyDescent="0.25">
      <c r="A3" s="139"/>
      <c r="B3" s="140"/>
      <c r="C3" s="141"/>
      <c r="D3" s="142"/>
      <c r="E3" s="126">
        <v>100</v>
      </c>
      <c r="F3" s="16"/>
      <c r="G3" s="182"/>
      <c r="H3" s="21"/>
      <c r="I3" s="21"/>
      <c r="J3" s="26"/>
      <c r="K3" s="26"/>
      <c r="L3" s="25"/>
      <c r="M3" s="25"/>
      <c r="N3" s="25"/>
      <c r="O3" s="25"/>
      <c r="P3" s="25"/>
      <c r="Q3" s="25"/>
      <c r="R3" s="25"/>
      <c r="S3" s="25"/>
    </row>
    <row r="4" spans="1:27" s="23" customFormat="1" hidden="1" x14ac:dyDescent="0.25">
      <c r="A4" s="121"/>
      <c r="B4" s="122"/>
      <c r="C4" s="122" t="str">
        <f>IF(B4="IDS Review","Other",IF(B4="Appeal Brief","Hourly", IF(B4="Pre-Appeal Brief","Hourly", IF(B4="Comments on Statement of Reasons for Allowance","Admin", IF(B4="DIV/CON Recommendation", "Admin", IF(B4="Examiner's Amendment","Hourly", IF(B4="National Stage Claims","Minor", IF(B4="Pre-Appeal Brief", "Hourly", IF(B4="Pre-Issuance Review","Other", IF(B4="Pre-Issuance Review (no comments)","Other", IF(B4="Pre-Issuance Review w/ Comments","Other", IF(B4="Preliminary Amendment","Minor", IF(B4="Prior Art Assessment (Request Exam)", "Admin", IF(B4="Response to Restriction Requirement","Minor", IF(B4="Rule 312 Amendment","Admin", IF(B4="Utility Patent Application", "Hourly", IF(B4="Voluntary Amendments (Request Exam)", "Minor", "    -")))))))))))))))))</f>
        <v xml:space="preserve">    -</v>
      </c>
      <c r="D4" s="123" t="str">
        <f>IF(OR(B4="Pre-Issuance Review",B4="Pre-Issuance Review (no comments)"),102, IF(B4="IDS Review",140,IF(C4="Admin",100, IF(C4="Major",108, IF(C4="Minor",103, IF(C4="Hourly",$E$3*$E4*0.4,IF(C4="Other","-   ","-   ")))))))</f>
        <v xml:space="preserve">-   </v>
      </c>
      <c r="E4" s="127"/>
      <c r="F4" s="16"/>
      <c r="G4" s="181"/>
      <c r="H4" s="21"/>
      <c r="I4" s="21"/>
      <c r="J4" s="26"/>
      <c r="K4" s="26"/>
      <c r="L4" s="25"/>
      <c r="M4" s="25"/>
      <c r="N4" s="25"/>
      <c r="O4" s="25"/>
      <c r="P4" s="25"/>
      <c r="Q4" s="25"/>
      <c r="R4" s="25"/>
      <c r="S4" s="25"/>
      <c r="T4" s="24"/>
      <c r="U4" s="24"/>
      <c r="V4" s="24"/>
      <c r="W4" s="24"/>
      <c r="X4" s="24"/>
      <c r="Y4" s="24"/>
      <c r="Z4" s="24"/>
      <c r="AA4" s="24"/>
    </row>
    <row r="5" spans="1:27" s="23" customFormat="1" x14ac:dyDescent="0.25">
      <c r="A5" s="143" t="s">
        <v>170</v>
      </c>
      <c r="B5" s="144"/>
      <c r="C5" s="128" t="s">
        <v>106</v>
      </c>
      <c r="D5" s="145" t="s">
        <v>105</v>
      </c>
      <c r="E5" s="128" t="s">
        <v>118</v>
      </c>
      <c r="F5" s="16"/>
      <c r="G5" s="181"/>
      <c r="H5" s="21"/>
      <c r="I5" s="21"/>
      <c r="J5" s="26"/>
      <c r="K5" s="26"/>
      <c r="L5" s="25"/>
      <c r="M5" s="25"/>
      <c r="N5" s="25"/>
      <c r="O5" s="25"/>
      <c r="P5" s="25"/>
      <c r="Q5" s="25"/>
      <c r="R5" s="25"/>
      <c r="S5" s="25"/>
      <c r="T5" s="24"/>
      <c r="U5" s="24"/>
      <c r="V5" s="24"/>
      <c r="W5" s="24"/>
      <c r="X5" s="24"/>
      <c r="Y5" s="24"/>
      <c r="Z5" s="24"/>
      <c r="AA5" s="24"/>
    </row>
    <row r="6" spans="1:27" s="23" customFormat="1" x14ac:dyDescent="0.25">
      <c r="A6" s="121" t="s">
        <v>179</v>
      </c>
      <c r="B6" s="122" t="s">
        <v>87</v>
      </c>
      <c r="C6" s="122" t="str">
        <f>IF(B6="IDS Review","Other",IF(B6="Appeal Brief","Hourly", IF(B6="Pre-Appeal Brief","Hourly", IF(B6="Comments on Statement of Reasons for Allowance","Admin", IF(B6="DIV/CON Recommendation", "Admin", IF(B6="Examiner's Amendment","Hourly", IF(B6="National Stage Claims","Minor", IF(B6="Pre-Appeal Brief", "Hourly", IF(B6="Pre-Issuance Review","Other", IF(B6="Pre-Issuance Review (no comments)","Other", IF(B6="Pre-Issuance Review w/ Comments","Other", IF(B6="Preliminary Amendment","Minor", IF(B6="Prior Art Assessment (Request Exam)", "Admin", IF(B6="Response to Restriction Requirement","Minor", IF(B6="Rule 312 Amendment","Admin", IF(B6="Utility Patent Application", "Hourly", IF(B6="Voluntary Amendments (Request Exam)", "Minor", "    -")))))))))))))))))</f>
        <v>Admin</v>
      </c>
      <c r="D6" s="123">
        <f>IF(OR(B6="Pre-Issuance Review",B6="Pre-Issuance Review (no comments)"),102, IF(B6="IDS Review",140,IF(C6="Admin",100, IF(C6="Major",108, IF(C6="Minor",103, IF(C6="Hourly",$E$3*$E6*0.4,IF(C6="Other","-   ","-   ")))))))</f>
        <v>100</v>
      </c>
      <c r="E6" s="127"/>
      <c r="F6" s="115"/>
      <c r="G6" s="181"/>
      <c r="H6" s="21"/>
      <c r="I6" s="21"/>
      <c r="J6" s="26"/>
      <c r="K6" s="26"/>
      <c r="L6" s="25"/>
      <c r="M6" s="25"/>
      <c r="N6" s="25"/>
      <c r="O6" s="25"/>
      <c r="P6" s="25"/>
      <c r="Q6" s="25"/>
      <c r="R6" s="25"/>
      <c r="S6" s="25"/>
      <c r="T6" s="24"/>
      <c r="U6" s="24"/>
      <c r="V6" s="24"/>
      <c r="W6" s="24"/>
      <c r="X6" s="24"/>
      <c r="Y6" s="24"/>
      <c r="Z6" s="24"/>
      <c r="AA6" s="24"/>
    </row>
    <row r="7" spans="1:27" s="23" customFormat="1" x14ac:dyDescent="0.25">
      <c r="A7" s="121" t="s">
        <v>179</v>
      </c>
      <c r="B7" s="122" t="s">
        <v>87</v>
      </c>
      <c r="C7" s="122" t="str">
        <f>IF(B7="IDS Review","Other",IF(B7="Appeal Brief","Hourly", IF(B7="Pre-Appeal Brief","Hourly", IF(B7="Comments on Statement of Reasons for Allowance","Admin", IF(B7="DIV/CON Recommendation", "Admin", IF(B7="Examiner's Amendment","Hourly", IF(B7="National Stage Claims","Minor", IF(B7="Pre-Appeal Brief", "Hourly", IF(B7="Pre-Issuance Review","Other", IF(B7="Pre-Issuance Review (no comments)","Other", IF(B7="Pre-Issuance Review w/ Comments","Other", IF(B7="Preliminary Amendment","Minor", IF(B7="Prior Art Assessment (Request Exam)", "Admin", IF(B7="Response to Restriction Requirement","Minor", IF(B7="Rule 312 Amendment","Admin", IF(B7="Utility Patent Application", "Hourly", IF(B7="Voluntary Amendments (Request Exam)", "Minor", "    -")))))))))))))))))</f>
        <v>Admin</v>
      </c>
      <c r="D7" s="123">
        <f>IF(OR(B7="Pre-Issuance Review",B7="Pre-Issuance Review (no comments)"),102, IF(B7="IDS Review",140,IF(C7="Admin",100, IF(C7="Major",108, IF(C7="Minor",103, IF(C7="Hourly",$E$3*$E7*0.4,IF(C7="Other","-   ","-   ")))))))</f>
        <v>100</v>
      </c>
      <c r="E7" s="127"/>
      <c r="F7" s="115"/>
      <c r="G7" s="181"/>
      <c r="H7" s="21"/>
      <c r="I7" s="21"/>
      <c r="J7" s="26"/>
      <c r="K7" s="26"/>
      <c r="L7" s="25"/>
      <c r="M7" s="25"/>
      <c r="N7" s="25"/>
      <c r="O7" s="25"/>
      <c r="P7" s="25"/>
      <c r="Q7" s="25"/>
      <c r="R7" s="25"/>
      <c r="S7" s="25"/>
      <c r="T7" s="24"/>
      <c r="U7" s="24"/>
      <c r="V7" s="24"/>
      <c r="W7" s="24"/>
      <c r="X7" s="24"/>
      <c r="Y7" s="24"/>
      <c r="Z7" s="24"/>
      <c r="AA7" s="24"/>
    </row>
    <row r="8" spans="1:27" s="23" customFormat="1" x14ac:dyDescent="0.25">
      <c r="A8" s="121" t="s">
        <v>179</v>
      </c>
      <c r="B8" s="122" t="s">
        <v>145</v>
      </c>
      <c r="C8" s="122" t="s">
        <v>97</v>
      </c>
      <c r="D8" s="123">
        <f>IF(OR(B8="Pre-Issuance Review",B8="Pre-Issuance Review (no comments)"),102, IF(B8="IDS Review",140,IF(C8="Admin",100, IF(C8="Major",108, IF(C8="Minor",103, IF(C8="Hourly",$E$3*$E8*0.4,IF(C8="Other","-   ","-   ")))))))</f>
        <v>80</v>
      </c>
      <c r="E8" s="127">
        <v>2</v>
      </c>
      <c r="F8" s="115"/>
      <c r="G8" s="181"/>
      <c r="H8" s="21"/>
      <c r="I8" s="21"/>
      <c r="J8" s="26"/>
      <c r="K8" s="26"/>
      <c r="L8" s="25"/>
      <c r="M8" s="25"/>
      <c r="N8" s="25"/>
      <c r="O8" s="25"/>
      <c r="P8" s="25"/>
      <c r="Q8" s="25"/>
      <c r="R8" s="25"/>
      <c r="S8" s="25"/>
      <c r="T8" s="24"/>
      <c r="U8" s="24"/>
      <c r="V8" s="24"/>
      <c r="W8" s="24"/>
      <c r="X8" s="24"/>
      <c r="Y8" s="24"/>
      <c r="Z8" s="24"/>
      <c r="AA8" s="24"/>
    </row>
    <row r="9" spans="1:27" s="23" customFormat="1" x14ac:dyDescent="0.25">
      <c r="A9" s="121" t="s">
        <v>179</v>
      </c>
      <c r="B9" s="190" t="s">
        <v>74</v>
      </c>
      <c r="C9" s="191" t="s">
        <v>91</v>
      </c>
      <c r="D9" s="192" t="s">
        <v>114</v>
      </c>
      <c r="E9" s="127"/>
      <c r="F9" s="115"/>
      <c r="G9" s="181"/>
      <c r="H9" s="21"/>
      <c r="I9" s="21"/>
      <c r="J9" s="26"/>
      <c r="K9" s="26"/>
      <c r="L9" s="25"/>
      <c r="M9" s="25"/>
      <c r="N9" s="25"/>
      <c r="O9" s="25"/>
      <c r="P9" s="25"/>
      <c r="Q9" s="25"/>
      <c r="R9" s="25"/>
      <c r="S9" s="25"/>
      <c r="T9" s="24"/>
      <c r="U9" s="24"/>
      <c r="V9" s="24"/>
      <c r="W9" s="24"/>
      <c r="X9" s="24"/>
      <c r="Y9" s="24"/>
      <c r="Z9" s="24"/>
      <c r="AA9" s="24"/>
    </row>
    <row r="10" spans="1:27" s="23" customFormat="1" x14ac:dyDescent="0.25">
      <c r="A10" s="121" t="s">
        <v>179</v>
      </c>
      <c r="B10" s="190" t="s">
        <v>115</v>
      </c>
      <c r="C10" s="191" t="str">
        <f>IF(B10="IDS Review","Other",IF(B10="Appeal Brief","Hourly", IF(B10="Pre-Appeal Brief","Hourly", IF(B10="Comments on Statement of Reasons for Allowance","Admin", IF(B10="DIV/CON Recommendation", "Admin", IF(B10="Examiner's Amendment","Hourly", IF(B10="National Stage Claims","Minor", IF(B10="Pre-Appeal Brief", "Hourly", IF(B10="Pre-Issuance Review","Other", IF(B10="Pre-Issuance Review (no comments)","Other", IF(B10="Pre-Issuance Review w/ Comments","Other", IF(B10="Preliminary Amendment","Minor", IF(B10="Prior Art Assessment (Request Exam)", "Admin", IF(B10="Response to Restriction Requirement","Minor", IF(B10="Rule 312 Amendment","Admin", IF(B10="Utility Patent Application", "Hourly", IF(B10="Voluntary Amendments (Request Exam)", "Minor", "    -")))))))))))))))))</f>
        <v>Other</v>
      </c>
      <c r="D10" s="192">
        <f>IF(OR(B10="Pre-Issuance Review",B10="Pre-Issuance Review (no comments)"),102, IF(B10="IDS Review",140,IF(C10="Admin",100, IF(C10="Major",108, IF(C10="Minor",103, IF(C10="Hourly",$E$3*$E10*0.4,IF(C10="Other","-   ","-   ")))))))</f>
        <v>102</v>
      </c>
      <c r="E10" s="127"/>
      <c r="F10" s="115"/>
      <c r="G10" s="181"/>
      <c r="H10" s="21"/>
      <c r="I10" s="21"/>
      <c r="J10" s="26"/>
      <c r="K10" s="26"/>
      <c r="L10" s="25"/>
      <c r="M10" s="25"/>
      <c r="N10" s="25"/>
      <c r="O10" s="25"/>
      <c r="P10" s="25"/>
      <c r="Q10" s="25"/>
      <c r="R10" s="25"/>
      <c r="S10" s="25"/>
      <c r="T10" s="24"/>
      <c r="U10" s="24"/>
      <c r="V10" s="24"/>
      <c r="W10" s="24"/>
      <c r="X10" s="24"/>
      <c r="Y10" s="24"/>
      <c r="Z10" s="24"/>
      <c r="AA10" s="24"/>
    </row>
    <row r="11" spans="1:27" s="23" customFormat="1" x14ac:dyDescent="0.25">
      <c r="A11" s="121" t="s">
        <v>179</v>
      </c>
      <c r="B11" s="190" t="s">
        <v>81</v>
      </c>
      <c r="C11" s="191" t="s">
        <v>90</v>
      </c>
      <c r="D11" s="192">
        <f>IF(OR(B11="Pre-Issuance Review",B11="Pre-Issuance Review (no comments)"),102, IF(B11="IDS Review",140,IF(C11="Admin",100, IF(C11="Major",108, IF(C11="Minor",103, IF(C11="Hourly",$E$3*$E11*0.4,IF(C11="Other","-   ","-   ")))))))</f>
        <v>103</v>
      </c>
      <c r="E11" s="127">
        <v>12.5</v>
      </c>
      <c r="F11" s="115"/>
      <c r="G11" s="181"/>
      <c r="H11" s="21"/>
      <c r="I11" s="21"/>
      <c r="J11" s="26"/>
      <c r="K11" s="26"/>
      <c r="L11" s="25"/>
      <c r="M11" s="25"/>
      <c r="N11" s="25"/>
      <c r="O11" s="25"/>
      <c r="P11" s="25"/>
      <c r="Q11" s="25"/>
      <c r="R11" s="25"/>
      <c r="S11" s="25"/>
      <c r="T11" s="24"/>
      <c r="U11" s="24"/>
      <c r="V11" s="24"/>
      <c r="W11" s="24"/>
      <c r="X11" s="24"/>
      <c r="Y11" s="24"/>
      <c r="Z11" s="24"/>
      <c r="AA11" s="24"/>
    </row>
    <row r="12" spans="1:27" s="23" customFormat="1" x14ac:dyDescent="0.25">
      <c r="A12" s="121" t="s">
        <v>179</v>
      </c>
      <c r="B12" s="190" t="s">
        <v>81</v>
      </c>
      <c r="C12" s="191" t="s">
        <v>90</v>
      </c>
      <c r="D12" s="192">
        <f>IF(OR(B12="Pre-Issuance Review",B12="Pre-Issuance Review (no comments)"),102, IF(B12="IDS Review",140,IF(C12="Admin",100, IF(C12="Major",108, IF(C12="Minor",103, IF(C12="Hourly",$E$3*$E12*0.4,IF(C12="Other","-   ","-   ")))))))</f>
        <v>103</v>
      </c>
      <c r="E12" s="127">
        <v>7.1</v>
      </c>
      <c r="F12" s="115"/>
      <c r="G12" s="181"/>
      <c r="H12" s="21"/>
      <c r="I12" s="21"/>
      <c r="J12" s="26"/>
      <c r="K12" s="26"/>
      <c r="L12" s="25"/>
      <c r="M12" s="25"/>
      <c r="N12" s="25"/>
      <c r="O12" s="25"/>
      <c r="P12" s="25"/>
      <c r="Q12" s="25"/>
      <c r="R12" s="25"/>
      <c r="S12" s="25"/>
      <c r="T12" s="24"/>
      <c r="U12" s="24"/>
      <c r="V12" s="24"/>
      <c r="W12" s="24"/>
      <c r="X12" s="24"/>
      <c r="Y12" s="24"/>
      <c r="Z12" s="24"/>
      <c r="AA12" s="24"/>
    </row>
    <row r="13" spans="1:27" s="189" customFormat="1" x14ac:dyDescent="0.2">
      <c r="A13" s="121" t="s">
        <v>179</v>
      </c>
      <c r="B13" s="190" t="s">
        <v>115</v>
      </c>
      <c r="C13" s="191" t="str">
        <f>IF(B13="IDS Review","Other",IF(B13="Appeal Brief","Hourly", IF(B13="Pre-Appeal Brief","Hourly", IF(B13="Comments on Statement of Reasons for Allowance","Admin", IF(B13="DIV/CON Recommendation", "Admin", IF(B13="Examiner's Amendment","Hourly", IF(B13="National Stage Claims","Minor", IF(B13="Pre-Appeal Brief", "Hourly", IF(B13="Pre-Issuance Review","Other", IF(B13="Pre-Issuance Review (no comments)","Other", IF(B13="Pre-Issuance Review w/ Comments","Other", IF(B13="Preliminary Amendment","Minor", IF(B13="Prior Art Assessment (Request Exam)", "Admin", IF(B13="Response to Restriction Requirement","Minor", IF(B13="Rule 312 Amendment","Admin", IF(B13="Utility Patent Application", "Hourly", IF(B13="Voluntary Amendments (Request Exam)", "Minor", "    -")))))))))))))))))</f>
        <v>Other</v>
      </c>
      <c r="D13" s="192">
        <f>IF(OR(B13="Pre-Issuance Review",B13="Pre-Issuance Review (no comments)"),102, IF(B13="IDS Review",140,IF(C13="Admin",100, IF(C13="Major",108, IF(C13="Minor",103, IF(C13="Hourly",$E$3*$E13*0.4,IF(C13="Other","-   ","-   ")))))))</f>
        <v>102</v>
      </c>
      <c r="E13" s="127"/>
      <c r="F13" s="115"/>
      <c r="G13" s="181"/>
      <c r="H13" s="185"/>
      <c r="I13" s="185"/>
      <c r="J13" s="186"/>
      <c r="K13" s="186"/>
      <c r="L13" s="187"/>
      <c r="M13" s="187"/>
      <c r="N13" s="187"/>
      <c r="O13" s="187"/>
      <c r="P13" s="187"/>
      <c r="Q13" s="187"/>
      <c r="R13" s="187"/>
      <c r="S13" s="187"/>
      <c r="T13" s="188"/>
      <c r="U13" s="188"/>
      <c r="V13" s="188"/>
      <c r="W13" s="188"/>
      <c r="X13" s="188"/>
      <c r="Y13" s="188"/>
      <c r="Z13" s="188"/>
      <c r="AA13" s="188"/>
    </row>
    <row r="14" spans="1:27" s="189" customFormat="1" x14ac:dyDescent="0.2">
      <c r="A14" s="121" t="s">
        <v>179</v>
      </c>
      <c r="B14" s="190" t="s">
        <v>115</v>
      </c>
      <c r="C14" s="191" t="str">
        <f>IF(B14="IDS Review","Other",IF(B14="Appeal Brief","Hourly", IF(B14="Pre-Appeal Brief","Hourly", IF(B14="Comments on Statement of Reasons for Allowance","Admin", IF(B14="DIV/CON Recommendation", "Admin", IF(B14="Examiner's Amendment","Hourly", IF(B14="National Stage Claims","Minor", IF(B14="Pre-Appeal Brief", "Hourly", IF(B14="Pre-Issuance Review","Other", IF(B14="Pre-Issuance Review (no comments)","Other", IF(B14="Pre-Issuance Review w/ Comments","Other", IF(B14="Preliminary Amendment","Minor", IF(B14="Prior Art Assessment (Request Exam)", "Admin", IF(B14="Response to Restriction Requirement","Minor", IF(B14="Rule 312 Amendment","Admin", IF(B14="Utility Patent Application", "Hourly", IF(B14="Voluntary Amendments (Request Exam)", "Minor", "    -")))))))))))))))))</f>
        <v>Other</v>
      </c>
      <c r="D14" s="192">
        <f>IF(OR(B14="Pre-Issuance Review",B14="Pre-Issuance Review (no comments)"),102, IF(B14="IDS Review",140,IF(C14="Admin",100, IF(C14="Major",108, IF(C14="Minor",103, IF(C14="Hourly",$E$3*$E14*0.4,IF(C14="Other","-   ","-   ")))))))</f>
        <v>102</v>
      </c>
      <c r="E14" s="127"/>
      <c r="F14" s="115"/>
      <c r="G14" s="181"/>
      <c r="H14" s="185"/>
      <c r="I14" s="185"/>
      <c r="J14" s="186"/>
      <c r="K14" s="186"/>
      <c r="L14" s="187"/>
      <c r="M14" s="187"/>
      <c r="N14" s="187"/>
      <c r="O14" s="187"/>
      <c r="P14" s="187"/>
      <c r="Q14" s="187"/>
      <c r="R14" s="187"/>
      <c r="S14" s="187"/>
      <c r="T14" s="188"/>
      <c r="U14" s="188"/>
      <c r="V14" s="188"/>
      <c r="W14" s="188"/>
      <c r="X14" s="188"/>
      <c r="Y14" s="188"/>
      <c r="Z14" s="188"/>
      <c r="AA14" s="188"/>
    </row>
    <row r="15" spans="1:27" s="189" customFormat="1" x14ac:dyDescent="0.2">
      <c r="A15" s="121" t="s">
        <v>179</v>
      </c>
      <c r="B15" s="190" t="s">
        <v>115</v>
      </c>
      <c r="C15" s="191" t="str">
        <f>IF(B15="IDS Review","Other",IF(B15="Appeal Brief","Hourly", IF(B15="Pre-Appeal Brief","Hourly", IF(B15="Comments on Statement of Reasons for Allowance","Admin", IF(B15="DIV/CON Recommendation", "Admin", IF(B15="Examiner's Amendment","Hourly", IF(B15="National Stage Claims","Minor", IF(B15="Pre-Appeal Brief", "Hourly", IF(B15="Pre-Issuance Review","Other", IF(B15="Pre-Issuance Review (no comments)","Other", IF(B15="Pre-Issuance Review w/ Comments","Other", IF(B15="Preliminary Amendment","Minor", IF(B15="Prior Art Assessment (Request Exam)", "Admin", IF(B15="Response to Restriction Requirement","Minor", IF(B15="Rule 312 Amendment","Admin", IF(B15="Utility Patent Application", "Hourly", IF(B15="Voluntary Amendments (Request Exam)", "Minor", "    -")))))))))))))))))</f>
        <v>Other</v>
      </c>
      <c r="D15" s="192">
        <f>IF(OR(B15="Pre-Issuance Review",B15="Pre-Issuance Review (no comments)"),102, IF(B15="IDS Review",140,IF(C15="Admin",100, IF(C15="Major",108, IF(C15="Minor",103, IF(C15="Hourly",$E$3*$E15*0.4,IF(C15="Other","-   ","-   ")))))))</f>
        <v>102</v>
      </c>
      <c r="E15" s="127"/>
      <c r="F15" s="115"/>
      <c r="G15" s="181"/>
      <c r="H15" s="185"/>
      <c r="I15" s="185"/>
      <c r="J15" s="186"/>
      <c r="K15" s="186"/>
      <c r="L15" s="187"/>
      <c r="M15" s="187"/>
      <c r="N15" s="187"/>
      <c r="O15" s="187"/>
      <c r="P15" s="187"/>
      <c r="Q15" s="187"/>
      <c r="R15" s="187"/>
      <c r="S15" s="187"/>
      <c r="T15" s="188"/>
      <c r="U15" s="188"/>
      <c r="V15" s="188"/>
      <c r="W15" s="188"/>
      <c r="X15" s="188"/>
      <c r="Y15" s="188"/>
      <c r="Z15" s="188"/>
      <c r="AA15" s="188"/>
    </row>
    <row r="16" spans="1:27" s="189" customFormat="1" x14ac:dyDescent="0.2">
      <c r="A16" s="121" t="s">
        <v>179</v>
      </c>
      <c r="B16" s="190" t="s">
        <v>115</v>
      </c>
      <c r="C16" s="191" t="str">
        <f>IF(B16="IDS Review","Other",IF(B16="Appeal Brief","Hourly", IF(B16="Pre-Appeal Brief","Hourly", IF(B16="Comments on Statement of Reasons for Allowance","Admin", IF(B16="DIV/CON Recommendation", "Admin", IF(B16="Examiner's Amendment","Hourly", IF(B16="National Stage Claims","Minor", IF(B16="Pre-Appeal Brief", "Hourly", IF(B16="Pre-Issuance Review","Other", IF(B16="Pre-Issuance Review (no comments)","Other", IF(B16="Pre-Issuance Review w/ Comments","Other", IF(B16="Preliminary Amendment","Minor", IF(B16="Prior Art Assessment (Request Exam)", "Admin", IF(B16="Response to Restriction Requirement","Minor", IF(B16="Rule 312 Amendment","Admin", IF(B16="Utility Patent Application", "Hourly", IF(B16="Voluntary Amendments (Request Exam)", "Minor", "    -")))))))))))))))))</f>
        <v>Other</v>
      </c>
      <c r="D16" s="192">
        <f>IF(OR(B16="Pre-Issuance Review",B16="Pre-Issuance Review (no comments)"),102, IF(B16="IDS Review",140,IF(C16="Admin",100, IF(C16="Major",108, IF(C16="Minor",103, IF(C16="Hourly",$E$3*$E16*0.4,IF(C16="Other","-   ","-   ")))))))</f>
        <v>102</v>
      </c>
      <c r="E16" s="127"/>
      <c r="F16" s="115"/>
      <c r="G16" s="181"/>
      <c r="H16" s="185"/>
      <c r="I16" s="185"/>
      <c r="J16" s="186"/>
      <c r="K16" s="186"/>
      <c r="L16" s="187"/>
      <c r="M16" s="187"/>
      <c r="N16" s="187"/>
      <c r="O16" s="187"/>
      <c r="P16" s="187"/>
      <c r="Q16" s="187"/>
      <c r="R16" s="187"/>
      <c r="S16" s="187"/>
      <c r="T16" s="188"/>
      <c r="U16" s="188"/>
      <c r="V16" s="188"/>
      <c r="W16" s="188"/>
      <c r="X16" s="188"/>
      <c r="Y16" s="188"/>
      <c r="Z16" s="188"/>
      <c r="AA16" s="188"/>
    </row>
    <row r="17" spans="1:27" s="189" customFormat="1" x14ac:dyDescent="0.2">
      <c r="A17" s="121" t="s">
        <v>179</v>
      </c>
      <c r="B17" s="190" t="s">
        <v>115</v>
      </c>
      <c r="C17" s="191" t="s">
        <v>89</v>
      </c>
      <c r="D17" s="192">
        <f>IF(OR(B17="Pre-Issuance Review",B17="Pre-Issuance Review (no comments)"),102, IF(B17="IDS Review",140,IF(C17="Admin",100, IF(C17="Major",108, IF(C17="Minor",103, IF(C17="Hourly",$E$3*$E17*0.4,IF(C17="Other","-   ","-   ")))))))</f>
        <v>102</v>
      </c>
      <c r="E17" s="127"/>
      <c r="F17" s="115"/>
      <c r="G17" s="181"/>
      <c r="H17" s="185"/>
      <c r="I17" s="185"/>
      <c r="J17" s="186"/>
      <c r="K17" s="186"/>
      <c r="L17" s="187"/>
      <c r="M17" s="187"/>
      <c r="N17" s="187"/>
      <c r="O17" s="187"/>
      <c r="P17" s="187"/>
      <c r="Q17" s="187"/>
      <c r="R17" s="187"/>
      <c r="S17" s="187"/>
      <c r="T17" s="188"/>
      <c r="U17" s="188"/>
      <c r="V17" s="188"/>
      <c r="W17" s="188"/>
      <c r="X17" s="188"/>
      <c r="Y17" s="188"/>
      <c r="Z17" s="188"/>
      <c r="AA17" s="188"/>
    </row>
    <row r="18" spans="1:27" s="189" customFormat="1" x14ac:dyDescent="0.2">
      <c r="A18" s="121" t="s">
        <v>179</v>
      </c>
      <c r="B18" s="190" t="s">
        <v>115</v>
      </c>
      <c r="C18" s="191" t="str">
        <f>IF(B18="IDS Review","Other",IF(B18="Appeal Brief","Hourly", IF(B18="Pre-Appeal Brief","Hourly", IF(B18="Comments on Statement of Reasons for Allowance","Admin", IF(B18="DIV/CON Recommendation", "Admin", IF(B18="Examiner's Amendment","Hourly", IF(B18="National Stage Claims","Minor", IF(B18="Pre-Appeal Brief", "Hourly", IF(B18="Pre-Issuance Review","Other", IF(B18="Pre-Issuance Review (no comments)","Other", IF(B18="Pre-Issuance Review w/ Comments","Other", IF(B18="Preliminary Amendment","Minor", IF(B18="Prior Art Assessment (Request Exam)", "Admin", IF(B18="Response to Restriction Requirement","Minor", IF(B18="Rule 312 Amendment","Admin", IF(B18="Utility Patent Application", "Hourly", IF(B18="Voluntary Amendments (Request Exam)", "Minor", "    -")))))))))))))))))</f>
        <v>Other</v>
      </c>
      <c r="D18" s="192">
        <f>IF(OR(B18="Pre-Issuance Review",B18="Pre-Issuance Review (no comments)"),102, IF(B18="IDS Review",140,IF(C18="Admin",100, IF(C18="Major",108, IF(C18="Minor",103, IF(C18="Hourly",$E$3*$E18*0.4,IF(C18="Other","-   ","-   ")))))))</f>
        <v>102</v>
      </c>
      <c r="E18" s="127"/>
      <c r="F18" s="115"/>
      <c r="G18" s="181"/>
      <c r="H18" s="185"/>
      <c r="I18" s="185"/>
      <c r="J18" s="186"/>
      <c r="K18" s="186"/>
      <c r="L18" s="187"/>
      <c r="M18" s="187"/>
      <c r="N18" s="187"/>
      <c r="O18" s="187"/>
      <c r="P18" s="187"/>
      <c r="Q18" s="187"/>
      <c r="R18" s="187"/>
      <c r="S18" s="187"/>
      <c r="T18" s="188"/>
      <c r="U18" s="188"/>
      <c r="V18" s="188"/>
      <c r="W18" s="188"/>
      <c r="X18" s="188"/>
      <c r="Y18" s="188"/>
      <c r="Z18" s="188"/>
      <c r="AA18" s="188"/>
    </row>
    <row r="19" spans="1:27" s="23" customFormat="1" x14ac:dyDescent="0.25">
      <c r="A19" s="121" t="s">
        <v>179</v>
      </c>
      <c r="B19" s="190" t="s">
        <v>115</v>
      </c>
      <c r="C19" s="191" t="s">
        <v>89</v>
      </c>
      <c r="D19" s="192">
        <f>IF(OR(B19="Pre-Issuance Review",B19="Pre-Issuance Review (no comments)"),102, IF(B19="IDS Review",140,IF(C19="Admin",100, IF(C19="Major",108, IF(C19="Minor",103, IF(C19="Hourly",$E$3*$E19*0.4,IF(C19="Other","-   ","-   ")))))))</f>
        <v>102</v>
      </c>
      <c r="E19" s="127"/>
      <c r="F19" s="115"/>
      <c r="G19" s="181"/>
      <c r="H19" s="21"/>
      <c r="I19" s="21"/>
      <c r="J19" s="26"/>
      <c r="K19" s="26"/>
      <c r="L19" s="25"/>
      <c r="M19" s="25"/>
      <c r="N19" s="25"/>
      <c r="O19" s="25"/>
      <c r="P19" s="25"/>
      <c r="Q19" s="25"/>
      <c r="R19" s="25"/>
      <c r="S19" s="25"/>
      <c r="T19" s="24"/>
      <c r="U19" s="24"/>
      <c r="V19" s="24"/>
      <c r="W19" s="24"/>
      <c r="X19" s="24"/>
      <c r="Y19" s="24"/>
      <c r="Z19" s="24"/>
      <c r="AA19" s="24"/>
    </row>
    <row r="20" spans="1:27" s="23" customFormat="1" x14ac:dyDescent="0.25">
      <c r="A20" s="121" t="s">
        <v>179</v>
      </c>
      <c r="B20" s="190" t="s">
        <v>115</v>
      </c>
      <c r="C20" s="191" t="str">
        <f t="shared" ref="C20" si="0">IF(B20="IDS Review","Other",IF(B20="Appeal Brief","Hourly", IF(B20="Pre-Appeal Brief","Hourly", IF(B20="Comments on Statement of Reasons for Allowance","Admin", IF(B20="DIV/CON Recommendation", "Admin", IF(B20="Examiner's Amendment","Hourly", IF(B20="National Stage Claims","Minor", IF(B20="Pre-Appeal Brief", "Hourly", IF(B20="Pre-Issuance Review","Other", IF(B20="Pre-Issuance Review (no comments)","Other", IF(B20="Pre-Issuance Review w/ Comments","Other", IF(B20="Preliminary Amendment","Minor", IF(B20="Prior Art Assessment (Request Exam)", "Admin", IF(B20="Response to Restriction Requirement","Minor", IF(B20="Rule 312 Amendment","Admin", IF(B20="Utility Patent Application", "Hourly", IF(B20="Voluntary Amendments (Request Exam)", "Minor", "    -")))))))))))))))))</f>
        <v>Other</v>
      </c>
      <c r="D20" s="192">
        <f>IF(OR(B20="Pre-Issuance Review",B20="Pre-Issuance Review (no comments)"),102, IF(B20="IDS Review",140,IF(C20="Admin",100, IF(C20="Major",108, IF(C20="Minor",103, IF(C20="Hourly",$E$3*$E20*0.4,IF(C20="Other","-   ","-   ")))))))</f>
        <v>102</v>
      </c>
      <c r="E20" s="127"/>
      <c r="F20" s="115"/>
      <c r="G20" s="181"/>
      <c r="H20" s="21"/>
      <c r="I20" s="21"/>
      <c r="J20" s="26"/>
      <c r="K20" s="26"/>
      <c r="L20" s="25"/>
      <c r="M20" s="25"/>
      <c r="N20" s="25"/>
      <c r="O20" s="25"/>
      <c r="P20" s="25"/>
      <c r="Q20" s="25"/>
      <c r="R20" s="25"/>
      <c r="S20" s="25"/>
      <c r="T20" s="24"/>
      <c r="U20" s="24"/>
      <c r="V20" s="24"/>
      <c r="W20" s="24"/>
      <c r="X20" s="24"/>
      <c r="Y20" s="24"/>
      <c r="Z20" s="24"/>
      <c r="AA20" s="24"/>
    </row>
    <row r="21" spans="1:27" s="23" customFormat="1" x14ac:dyDescent="0.25">
      <c r="A21" s="121" t="s">
        <v>179</v>
      </c>
      <c r="B21" s="190" t="s">
        <v>81</v>
      </c>
      <c r="C21" s="191" t="str">
        <f>IF(B21="IDS Review","Other",IF(B21="Appeal Brief","Hourly", IF(B21="Pre-Appeal Brief","Hourly", IF(B21="Comments on Statement of Reasons for Allowance","Admin", IF(B21="DIV/CON Recommendation", "Admin", IF(B21="Examiner's Amendment","Hourly", IF(B21="National Stage Claims","Minor", IF(B21="Pre-Appeal Brief", "Hourly", IF(B21="Pre-Issuance Review","Other", IF(B21="Pre-Issuance Review (no comments)","Other", IF(B21="Pre-Issuance Review w/ Comments","Other", IF(B21="Preliminary Amendment","Minor", IF(B21="Prior Art Assessment (Request Exam)", "Admin", IF(B21="Response to Restriction Requirement","Minor", IF(B21="Rule 312 Amendment","Admin", IF(B21="Utility Patent Application", "Hourly", IF(B21="Voluntary Amendments (Request Exam)", "Minor", "    -")))))))))))))))))</f>
        <v>Admin</v>
      </c>
      <c r="D21" s="192">
        <f>IF(OR(B21="Pre-Issuance Review",B21="Pre-Issuance Review (no comments)"),102, IF(B21="IDS Review",140,IF(C21="Admin",100, IF(C21="Major",108, IF(C21="Minor",103, IF(C21="Hourly",$E$3*$E21*0.4,IF(C21="Other","-   ","-   ")))))))</f>
        <v>100</v>
      </c>
      <c r="E21" s="127"/>
      <c r="F21" s="115"/>
      <c r="G21" s="181"/>
      <c r="H21" s="21"/>
      <c r="I21" s="21"/>
      <c r="J21" s="26"/>
      <c r="K21" s="26"/>
      <c r="L21" s="25"/>
      <c r="M21" s="25"/>
      <c r="N21" s="25"/>
      <c r="O21" s="25"/>
      <c r="P21" s="25"/>
      <c r="Q21" s="25"/>
      <c r="R21" s="25"/>
      <c r="S21" s="25"/>
      <c r="T21" s="24"/>
      <c r="U21" s="24"/>
      <c r="V21" s="24"/>
      <c r="W21" s="24"/>
      <c r="X21" s="24"/>
      <c r="Y21" s="24"/>
      <c r="Z21" s="24"/>
      <c r="AA21" s="24"/>
    </row>
    <row r="22" spans="1:27" s="23" customFormat="1" x14ac:dyDescent="0.25">
      <c r="A22" s="121" t="s">
        <v>179</v>
      </c>
      <c r="B22" s="190" t="s">
        <v>81</v>
      </c>
      <c r="C22" s="191" t="str">
        <f t="shared" ref="C22" si="1">IF(B22="IDS Review","Other",IF(B22="Appeal Brief","Hourly", IF(B22="Pre-Appeal Brief","Hourly", IF(B22="Comments on Statement of Reasons for Allowance","Admin", IF(B22="DIV/CON Recommendation", "Admin", IF(B22="Examiner's Amendment","Hourly", IF(B22="National Stage Claims","Minor", IF(B22="Pre-Appeal Brief", "Hourly", IF(B22="Pre-Issuance Review","Other", IF(B22="Pre-Issuance Review (no comments)","Other", IF(B22="Pre-Issuance Review w/ Comments","Other", IF(B22="Preliminary Amendment","Minor", IF(B22="Prior Art Assessment (Request Exam)", "Admin", IF(B22="Response to Restriction Requirement","Minor", IF(B22="Rule 312 Amendment","Admin", IF(B22="Utility Patent Application", "Hourly", IF(B22="Voluntary Amendments (Request Exam)", "Minor", "    -")))))))))))))))))</f>
        <v>Admin</v>
      </c>
      <c r="D22" s="192">
        <f>IF(OR(B22="Pre-Issuance Review",B22="Pre-Issuance Review (no comments)"),102, IF(B22="IDS Review",140,IF(C22="Admin",100, IF(C22="Major",108, IF(C22="Minor",103, IF(C22="Hourly",$E$3*$E22*0.4,IF(C22="Other","-   ","-   ")))))))</f>
        <v>100</v>
      </c>
      <c r="E22" s="127"/>
      <c r="F22" s="115"/>
      <c r="G22" s="181"/>
      <c r="H22" s="21"/>
      <c r="I22" s="21"/>
      <c r="J22" s="26"/>
      <c r="K22" s="26"/>
      <c r="L22" s="25"/>
      <c r="M22" s="25"/>
      <c r="N22" s="25"/>
      <c r="O22" s="25"/>
      <c r="P22" s="25"/>
      <c r="Q22" s="25"/>
      <c r="R22" s="25"/>
      <c r="S22" s="25"/>
      <c r="T22" s="24"/>
      <c r="U22" s="24"/>
      <c r="V22" s="24"/>
      <c r="W22" s="24"/>
      <c r="X22" s="24"/>
      <c r="Y22" s="24"/>
      <c r="Z22" s="24"/>
      <c r="AA22" s="24"/>
    </row>
    <row r="23" spans="1:27" s="23" customFormat="1" x14ac:dyDescent="0.25">
      <c r="A23" s="121" t="s">
        <v>179</v>
      </c>
      <c r="B23" s="190" t="s">
        <v>87</v>
      </c>
      <c r="C23" s="191" t="s">
        <v>128</v>
      </c>
      <c r="D23" s="192">
        <f>IF(OR(B23="Pre-Issuance Review",B23="Pre-Issuance Review (no comments)"),102, IF(B23="IDS Review",140,IF(C23="Admin",100, IF(C23="Major",108, IF(C23="Minor",103, IF(C23="Hourly",$E$3*$E23*0.4,IF(C23="Other","-   ","-   ")))))))</f>
        <v>100</v>
      </c>
      <c r="E23" s="127"/>
      <c r="F23" s="115"/>
      <c r="G23" s="181"/>
      <c r="H23" s="21"/>
      <c r="I23" s="21"/>
      <c r="J23" s="26"/>
      <c r="K23" s="26"/>
      <c r="L23" s="25"/>
      <c r="M23" s="25"/>
      <c r="N23" s="25"/>
      <c r="O23" s="25"/>
      <c r="P23" s="25"/>
      <c r="Q23" s="25"/>
      <c r="R23" s="25"/>
      <c r="S23" s="25"/>
      <c r="T23" s="24"/>
      <c r="U23" s="24"/>
      <c r="V23" s="24"/>
      <c r="W23" s="24"/>
      <c r="X23" s="24"/>
      <c r="Y23" s="24"/>
      <c r="Z23" s="24"/>
      <c r="AA23" s="24"/>
    </row>
    <row r="24" spans="1:27" s="18" customFormat="1" ht="15.75" customHeight="1" x14ac:dyDescent="0.25">
      <c r="A24" s="133"/>
      <c r="B24" s="133"/>
      <c r="C24" s="134" t="s">
        <v>108</v>
      </c>
      <c r="D24" s="540">
        <f>SUM(D10:D23)</f>
        <v>1424</v>
      </c>
      <c r="E24" s="130"/>
      <c r="F24" s="16"/>
      <c r="G24" s="182"/>
      <c r="H24" s="21"/>
      <c r="I24" s="21"/>
      <c r="J24" s="20"/>
      <c r="K24" s="20"/>
      <c r="L24" s="19"/>
      <c r="M24" s="19"/>
      <c r="N24" s="19"/>
      <c r="O24" s="19"/>
      <c r="P24" s="19"/>
      <c r="Q24" s="19"/>
      <c r="R24" s="19"/>
      <c r="S24" s="19"/>
    </row>
    <row r="25" spans="1:27" s="18" customFormat="1" ht="15.75" customHeight="1" x14ac:dyDescent="0.25">
      <c r="A25" s="133"/>
      <c r="B25" s="133"/>
      <c r="C25" s="133"/>
      <c r="D25" s="133"/>
      <c r="E25" s="130"/>
      <c r="F25" s="16"/>
      <c r="G25" s="182"/>
      <c r="H25" s="21"/>
      <c r="I25" s="21"/>
      <c r="J25" s="20"/>
      <c r="K25" s="20"/>
      <c r="L25" s="19"/>
      <c r="M25" s="19"/>
      <c r="N25" s="19"/>
      <c r="O25" s="19"/>
      <c r="P25" s="19"/>
      <c r="Q25" s="19"/>
      <c r="R25" s="19"/>
      <c r="S25" s="19"/>
    </row>
    <row r="26" spans="1:27" s="24" customFormat="1" hidden="1" x14ac:dyDescent="0.25">
      <c r="A26" s="146"/>
      <c r="B26" s="147" t="s">
        <v>119</v>
      </c>
      <c r="C26" s="148"/>
      <c r="D26" s="148"/>
      <c r="E26" s="129"/>
      <c r="F26" s="16"/>
      <c r="G26" s="183"/>
      <c r="H26" s="21"/>
      <c r="I26" s="21"/>
      <c r="J26" s="26"/>
      <c r="K26" s="26"/>
      <c r="L26" s="25"/>
      <c r="M26" s="25"/>
      <c r="N26" s="25"/>
      <c r="O26" s="25"/>
      <c r="P26" s="25"/>
      <c r="Q26" s="25"/>
      <c r="R26" s="25"/>
      <c r="S26" s="25"/>
    </row>
    <row r="27" spans="1:27" ht="15.75" customHeight="1" x14ac:dyDescent="0.25">
      <c r="A27" s="149" t="s">
        <v>111</v>
      </c>
      <c r="B27" s="155"/>
      <c r="C27" s="150" t="s">
        <v>106</v>
      </c>
      <c r="D27" s="151" t="s">
        <v>105</v>
      </c>
      <c r="E27" s="131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</row>
    <row r="28" spans="1:27" ht="15.75" customHeight="1" x14ac:dyDescent="0.25">
      <c r="A28" s="152" t="s">
        <v>179</v>
      </c>
      <c r="B28" s="153" t="s">
        <v>96</v>
      </c>
      <c r="C28" s="153" t="s">
        <v>89</v>
      </c>
      <c r="D28" s="154">
        <v>124</v>
      </c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</row>
    <row r="29" spans="1:27" ht="15.75" customHeight="1" x14ac:dyDescent="0.25">
      <c r="A29" s="152" t="s">
        <v>179</v>
      </c>
      <c r="B29" s="153" t="s">
        <v>96</v>
      </c>
      <c r="C29" s="153" t="s">
        <v>89</v>
      </c>
      <c r="D29" s="154">
        <v>124</v>
      </c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</row>
    <row r="30" spans="1:27" ht="15.75" customHeight="1" x14ac:dyDescent="0.25">
      <c r="A30" s="152" t="s">
        <v>179</v>
      </c>
      <c r="B30" s="153" t="s">
        <v>75</v>
      </c>
      <c r="C30" s="153" t="s">
        <v>90</v>
      </c>
      <c r="D30" s="154">
        <f>IF(C30&lt;&gt;"", IF(C30="Major",120,IF(C30="Minor", 128, IF(C30="Other",120, 0))), 0)</f>
        <v>128</v>
      </c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</row>
    <row r="31" spans="1:27" ht="15.75" customHeight="1" x14ac:dyDescent="0.25">
      <c r="A31" s="152" t="s">
        <v>179</v>
      </c>
      <c r="B31" s="153" t="s">
        <v>75</v>
      </c>
      <c r="C31" s="153" t="s">
        <v>91</v>
      </c>
      <c r="D31" s="154">
        <v>120</v>
      </c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</row>
    <row r="32" spans="1:27" ht="15.75" customHeight="1" x14ac:dyDescent="0.25">
      <c r="A32" s="152" t="s">
        <v>179</v>
      </c>
      <c r="B32" s="153" t="s">
        <v>75</v>
      </c>
      <c r="C32" s="153" t="s">
        <v>91</v>
      </c>
      <c r="D32" s="154">
        <f>IF(C32&lt;&gt;"", IF(C32="Major",120,IF(C32="Minor", 128, IF(C32="Other",120, 0))), 0)</f>
        <v>120</v>
      </c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</row>
    <row r="33" spans="1:27" ht="15.75" customHeight="1" x14ac:dyDescent="0.25">
      <c r="A33" s="152" t="s">
        <v>179</v>
      </c>
      <c r="B33" s="153" t="s">
        <v>71</v>
      </c>
      <c r="C33" s="153" t="s">
        <v>91</v>
      </c>
      <c r="D33" s="154">
        <f>IF(C33&lt;&gt;"", IF(C33="Major",120,IF(C33="Minor", 128, IF(C33="Other",120, 0))), 0)</f>
        <v>120</v>
      </c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</row>
    <row r="34" spans="1:27" ht="15.75" customHeight="1" x14ac:dyDescent="0.25">
      <c r="A34" s="152" t="s">
        <v>179</v>
      </c>
      <c r="B34" s="153" t="s">
        <v>75</v>
      </c>
      <c r="C34" s="153" t="s">
        <v>91</v>
      </c>
      <c r="D34" s="154">
        <f>IF(C34&lt;&gt;"", IF(C34="Major",120,IF(C34="Minor", 128, IF(C34="Other",120, 0))), 0)</f>
        <v>120</v>
      </c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</row>
    <row r="35" spans="1:27" ht="15.75" customHeight="1" x14ac:dyDescent="0.25">
      <c r="A35" s="152" t="s">
        <v>179</v>
      </c>
      <c r="B35" s="153" t="s">
        <v>104</v>
      </c>
      <c r="C35" s="153" t="s">
        <v>89</v>
      </c>
      <c r="D35" s="154">
        <v>120</v>
      </c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</row>
    <row r="36" spans="1:27" ht="15.75" customHeight="1" x14ac:dyDescent="0.25">
      <c r="A36" s="152" t="s">
        <v>179</v>
      </c>
      <c r="B36" s="153" t="s">
        <v>96</v>
      </c>
      <c r="C36" s="153" t="s">
        <v>89</v>
      </c>
      <c r="D36" s="154">
        <v>124</v>
      </c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</row>
    <row r="37" spans="1:27" ht="15.75" customHeight="1" x14ac:dyDescent="0.25">
      <c r="A37" s="152" t="s">
        <v>179</v>
      </c>
      <c r="B37" s="153" t="s">
        <v>120</v>
      </c>
      <c r="C37" s="153" t="s">
        <v>90</v>
      </c>
      <c r="D37" s="154">
        <f>IF(C37&lt;&gt;"", IF(C37="Major",120,IF(C37="Minor", 128, IF(C37="Other",120, 0))), 0)</f>
        <v>128</v>
      </c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</row>
    <row r="38" spans="1:27" ht="15.75" customHeight="1" x14ac:dyDescent="0.25">
      <c r="A38" s="152" t="s">
        <v>179</v>
      </c>
      <c r="B38" s="153" t="s">
        <v>78</v>
      </c>
      <c r="C38" s="153" t="s">
        <v>90</v>
      </c>
      <c r="D38" s="154">
        <f>IF(C38&lt;&gt;"", IF(C38="Major",120,IF(C38="Minor", 128, IF(C38="Other",120, 0))), 0)</f>
        <v>128</v>
      </c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</row>
    <row r="39" spans="1:27" s="22" customFormat="1" ht="15.75" customHeight="1" x14ac:dyDescent="0.25">
      <c r="A39" s="156"/>
      <c r="B39" s="157"/>
      <c r="C39" s="158" t="s">
        <v>108</v>
      </c>
      <c r="D39" s="159">
        <f>SUM(D28:D38)</f>
        <v>1356</v>
      </c>
      <c r="E39" s="130"/>
      <c r="F39" s="16"/>
      <c r="G39" s="181"/>
      <c r="H39" s="14"/>
      <c r="I39" s="14"/>
      <c r="J39" s="14"/>
      <c r="K39" s="14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</row>
    <row r="40" spans="1:27" s="18" customFormat="1" ht="15.75" customHeight="1" x14ac:dyDescent="0.25">
      <c r="A40" s="160"/>
      <c r="B40" s="161"/>
      <c r="C40" s="161"/>
      <c r="D40" s="162"/>
      <c r="E40" s="130"/>
      <c r="F40" s="16"/>
      <c r="G40" s="182"/>
      <c r="H40" s="21"/>
      <c r="I40" s="21"/>
      <c r="J40" s="20"/>
      <c r="K40" s="20"/>
      <c r="L40" s="19"/>
      <c r="M40" s="19"/>
      <c r="N40" s="19"/>
      <c r="O40" s="19"/>
      <c r="P40" s="19"/>
      <c r="Q40" s="19"/>
      <c r="R40" s="19"/>
      <c r="S40" s="19"/>
    </row>
    <row r="41" spans="1:27" ht="15.75" customHeight="1" x14ac:dyDescent="0.25">
      <c r="A41" s="149" t="s">
        <v>110</v>
      </c>
      <c r="B41" s="155"/>
      <c r="C41" s="150" t="s">
        <v>106</v>
      </c>
      <c r="D41" s="151" t="s">
        <v>105</v>
      </c>
      <c r="E41" s="131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</row>
    <row r="42" spans="1:27" ht="15.75" customHeight="1" x14ac:dyDescent="0.25">
      <c r="A42" s="152" t="s">
        <v>179</v>
      </c>
      <c r="B42" s="153" t="s">
        <v>75</v>
      </c>
      <c r="C42" s="153" t="s">
        <v>91</v>
      </c>
      <c r="D42" s="154">
        <f>IF(C42&lt;&gt;"", IF(C42="Major",120,IF(C42="Minor", 128, IF(C42="Other",120, 0))), 0)</f>
        <v>120</v>
      </c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</row>
    <row r="43" spans="1:27" ht="15.75" customHeight="1" x14ac:dyDescent="0.25">
      <c r="A43" s="152" t="s">
        <v>179</v>
      </c>
      <c r="B43" s="153" t="s">
        <v>75</v>
      </c>
      <c r="C43" s="153" t="s">
        <v>91</v>
      </c>
      <c r="D43" s="154">
        <f>IF(C43&lt;&gt;"", IF(C43="Major",120,IF(C43="Minor", 128, IF(C43="Other",120, 0))), 0)</f>
        <v>120</v>
      </c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</row>
    <row r="44" spans="1:27" ht="15.75" customHeight="1" x14ac:dyDescent="0.25">
      <c r="A44" s="152" t="s">
        <v>179</v>
      </c>
      <c r="B44" s="153" t="s">
        <v>82</v>
      </c>
      <c r="C44" s="153" t="s">
        <v>91</v>
      </c>
      <c r="D44" s="154">
        <f>IF(C44&lt;&gt;"", IF(C44="Major",120,IF(C44="Minor", 128, IF(C44="Other",120, 0))), 0)</f>
        <v>120</v>
      </c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</row>
    <row r="45" spans="1:27" ht="15.75" customHeight="1" x14ac:dyDescent="0.25">
      <c r="A45" s="152" t="s">
        <v>179</v>
      </c>
      <c r="B45" s="153" t="s">
        <v>71</v>
      </c>
      <c r="C45" s="153" t="s">
        <v>91</v>
      </c>
      <c r="D45" s="154">
        <f>IF(C45&lt;&gt;"", IF(C45="Major",120,IF(C45="Minor", 128, IF(C45="Other",120, 0))), 0)</f>
        <v>120</v>
      </c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</row>
    <row r="46" spans="1:27" ht="15.75" customHeight="1" x14ac:dyDescent="0.25">
      <c r="A46" s="152" t="s">
        <v>179</v>
      </c>
      <c r="B46" s="153" t="s">
        <v>79</v>
      </c>
      <c r="C46" s="153" t="s">
        <v>91</v>
      </c>
      <c r="D46" s="154">
        <f>IF(C46&lt;&gt;"", IF(C46="Major",120,IF(C46="Minor", 128, IF(C46="Other",120, 0))), 0)</f>
        <v>120</v>
      </c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</row>
    <row r="47" spans="1:27" ht="15.75" customHeight="1" x14ac:dyDescent="0.25">
      <c r="A47" s="152" t="s">
        <v>179</v>
      </c>
      <c r="B47" s="153" t="s">
        <v>96</v>
      </c>
      <c r="C47" s="153" t="s">
        <v>89</v>
      </c>
      <c r="D47" s="154">
        <v>124</v>
      </c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</row>
    <row r="48" spans="1:27" ht="15.75" customHeight="1" x14ac:dyDescent="0.25">
      <c r="A48" s="152" t="s">
        <v>179</v>
      </c>
      <c r="B48" s="153" t="s">
        <v>109</v>
      </c>
      <c r="C48" s="153" t="s">
        <v>89</v>
      </c>
      <c r="D48" s="154">
        <v>124</v>
      </c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</row>
    <row r="49" spans="1:27" ht="15.75" customHeight="1" x14ac:dyDescent="0.25">
      <c r="A49" s="152" t="s">
        <v>179</v>
      </c>
      <c r="B49" s="153" t="s">
        <v>75</v>
      </c>
      <c r="C49" s="153" t="s">
        <v>90</v>
      </c>
      <c r="D49" s="154">
        <f>IF(C49&lt;&gt;"", IF(C49="Major",120,IF(C49="Minor", 128, IF(C49="Other",120, 0))), 0)</f>
        <v>128</v>
      </c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</row>
    <row r="50" spans="1:27" ht="15.75" customHeight="1" x14ac:dyDescent="0.25">
      <c r="A50" s="152" t="s">
        <v>179</v>
      </c>
      <c r="B50" s="153" t="s">
        <v>75</v>
      </c>
      <c r="C50" s="153" t="s">
        <v>90</v>
      </c>
      <c r="D50" s="154">
        <f>IF(C50&lt;&gt;"", IF(C50="Major",120,IF(C50="Minor", 128, IF(C50="Other",120, 0))), 0)</f>
        <v>128</v>
      </c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</row>
    <row r="51" spans="1:27" ht="15.75" customHeight="1" x14ac:dyDescent="0.25">
      <c r="A51" s="152" t="s">
        <v>179</v>
      </c>
      <c r="B51" s="153" t="s">
        <v>75</v>
      </c>
      <c r="C51" s="153" t="s">
        <v>90</v>
      </c>
      <c r="D51" s="154">
        <f>IF(C51&lt;&gt;"", IF(C51="Major",120,IF(C51="Minor", 128, IF(C51="Other",120, 0))), 0)</f>
        <v>128</v>
      </c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</row>
    <row r="52" spans="1:27" ht="15.75" customHeight="1" x14ac:dyDescent="0.25">
      <c r="A52" s="152" t="s">
        <v>179</v>
      </c>
      <c r="B52" s="153" t="s">
        <v>75</v>
      </c>
      <c r="C52" s="153" t="s">
        <v>90</v>
      </c>
      <c r="D52" s="154">
        <f>IF(C52&lt;&gt;"", IF(C52="Major",120,IF(C52="Minor", 128, IF(C52="Other",120, 0))), 0)</f>
        <v>128</v>
      </c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</row>
    <row r="53" spans="1:27" ht="15.75" customHeight="1" x14ac:dyDescent="0.25">
      <c r="A53" s="156"/>
      <c r="B53" s="157"/>
      <c r="C53" s="158" t="s">
        <v>108</v>
      </c>
      <c r="D53" s="159">
        <f>SUM(D42:D52)</f>
        <v>1360</v>
      </c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</row>
    <row r="54" spans="1:27" s="18" customFormat="1" ht="15.75" customHeight="1" x14ac:dyDescent="0.25">
      <c r="A54" s="133"/>
      <c r="B54" s="133"/>
      <c r="C54" s="133"/>
      <c r="D54" s="133"/>
      <c r="E54" s="130"/>
      <c r="F54" s="16"/>
      <c r="G54" s="182"/>
      <c r="H54" s="21"/>
      <c r="I54" s="21"/>
      <c r="J54" s="20"/>
      <c r="K54" s="20"/>
      <c r="L54" s="19"/>
      <c r="M54" s="19"/>
      <c r="N54" s="19"/>
      <c r="O54" s="19"/>
      <c r="P54" s="19"/>
      <c r="Q54" s="19"/>
      <c r="R54" s="19"/>
      <c r="S54" s="19"/>
    </row>
    <row r="55" spans="1:27" ht="15.75" customHeight="1" x14ac:dyDescent="0.25">
      <c r="A55" s="149" t="s">
        <v>107</v>
      </c>
      <c r="B55" s="155"/>
      <c r="C55" s="150" t="s">
        <v>106</v>
      </c>
      <c r="D55" s="151" t="s">
        <v>105</v>
      </c>
      <c r="E55" s="131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</row>
    <row r="56" spans="1:27" ht="15.75" customHeight="1" x14ac:dyDescent="0.25">
      <c r="A56" s="152" t="s">
        <v>179</v>
      </c>
      <c r="B56" s="153" t="s">
        <v>75</v>
      </c>
      <c r="C56" s="153" t="s">
        <v>90</v>
      </c>
      <c r="D56" s="154">
        <f>IF(C56&lt;&gt;"", IF(C56="Major",120,IF(C56="Minor", 128, IF(C56="Other",120, 0))), 0)</f>
        <v>128</v>
      </c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</row>
    <row r="57" spans="1:27" ht="15.75" customHeight="1" x14ac:dyDescent="0.25">
      <c r="A57" s="152" t="s">
        <v>179</v>
      </c>
      <c r="B57" s="153" t="s">
        <v>79</v>
      </c>
      <c r="C57" s="153" t="s">
        <v>90</v>
      </c>
      <c r="D57" s="154">
        <f>IF(C57&lt;&gt;"", IF(C57="Major",120,IF(C57="Minor", 128, IF(C57="Other",120, 0))), 0)</f>
        <v>128</v>
      </c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</row>
    <row r="58" spans="1:27" ht="15.75" customHeight="1" x14ac:dyDescent="0.25">
      <c r="A58" s="152" t="s">
        <v>179</v>
      </c>
      <c r="B58" s="153" t="s">
        <v>104</v>
      </c>
      <c r="C58" s="153" t="s">
        <v>89</v>
      </c>
      <c r="D58" s="154">
        <f>IF(C58&lt;&gt;"", IF(C58="Major",120,IF(C58="Minor", 128, IF(C58="Other",120, 0))), 0)</f>
        <v>120</v>
      </c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</row>
    <row r="59" spans="1:27" ht="15.75" customHeight="1" x14ac:dyDescent="0.25">
      <c r="A59" s="152" t="s">
        <v>179</v>
      </c>
      <c r="B59" s="153" t="s">
        <v>103</v>
      </c>
      <c r="C59" s="153" t="s">
        <v>89</v>
      </c>
      <c r="D59" s="154">
        <f>IF(C59&lt;&gt;"", IF(C59="Major",120,IF(C59="Minor", 128, IF(C59="Other",120, 0))), 0)</f>
        <v>120</v>
      </c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</row>
    <row r="60" spans="1:27" ht="15.75" customHeight="1" x14ac:dyDescent="0.25">
      <c r="A60" s="152" t="s">
        <v>179</v>
      </c>
      <c r="B60" s="153" t="s">
        <v>103</v>
      </c>
      <c r="C60" s="153" t="s">
        <v>89</v>
      </c>
      <c r="D60" s="154">
        <f>IF(C60&lt;&gt;"", IF(C60="Major",120,IF(C60="Minor", 128, IF(C60="Other",120, 0))), 0)</f>
        <v>120</v>
      </c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</row>
    <row r="61" spans="1:27" ht="15.75" customHeight="1" x14ac:dyDescent="0.25">
      <c r="A61" s="152" t="s">
        <v>179</v>
      </c>
      <c r="B61" s="153" t="s">
        <v>102</v>
      </c>
      <c r="C61" s="153" t="s">
        <v>89</v>
      </c>
      <c r="D61" s="154">
        <f>IF(C61&lt;&gt;"", IF(C61="Major",120,IF(C61="Minor", 128, IF(C61="Other",120, 0))), 0)</f>
        <v>120</v>
      </c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</row>
    <row r="62" spans="1:27" ht="15.75" customHeight="1" x14ac:dyDescent="0.25">
      <c r="A62" s="152" t="s">
        <v>179</v>
      </c>
      <c r="B62" s="153" t="s">
        <v>182</v>
      </c>
      <c r="C62" s="153" t="s">
        <v>89</v>
      </c>
      <c r="D62" s="154">
        <f>IF(C62&lt;&gt;"", IF(C62="Major",120,IF(C62="Minor", 128, IF(C62="Other",120, 0))), 0)</f>
        <v>120</v>
      </c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</row>
    <row r="63" spans="1:27" ht="15.75" customHeight="1" x14ac:dyDescent="0.25">
      <c r="A63" s="152" t="s">
        <v>179</v>
      </c>
      <c r="B63" s="153" t="s">
        <v>75</v>
      </c>
      <c r="C63" s="153" t="s">
        <v>90</v>
      </c>
      <c r="D63" s="154">
        <f>IF(C63&lt;&gt;"", IF(C63="Major",120,IF(C63="Minor", 128, IF(C63="Other",120, 0))), 0)</f>
        <v>128</v>
      </c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</row>
    <row r="64" spans="1:27" ht="15.75" customHeight="1" x14ac:dyDescent="0.25">
      <c r="A64" s="152" t="s">
        <v>179</v>
      </c>
      <c r="B64" s="153" t="s">
        <v>120</v>
      </c>
      <c r="C64" s="153" t="s">
        <v>90</v>
      </c>
      <c r="D64" s="154">
        <f>IF(C64&lt;&gt;"", IF(C64="Major",120,IF(C64="Minor", 128, IF(C64="Other",120, 0))), 0)</f>
        <v>128</v>
      </c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</row>
    <row r="65" spans="1:27" ht="15.75" customHeight="1" x14ac:dyDescent="0.25">
      <c r="A65" s="152" t="s">
        <v>179</v>
      </c>
      <c r="B65" s="153" t="s">
        <v>84</v>
      </c>
      <c r="C65" s="153" t="s">
        <v>91</v>
      </c>
      <c r="D65" s="154">
        <f>IF(C65&lt;&gt;"", IF(C65="Major",120,IF(C65="Minor", 128, IF(C65="Other",120, 0))), 0)</f>
        <v>120</v>
      </c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</row>
    <row r="66" spans="1:27" ht="15.75" customHeight="1" x14ac:dyDescent="0.25">
      <c r="A66" s="152" t="s">
        <v>179</v>
      </c>
      <c r="B66" s="153" t="s">
        <v>77</v>
      </c>
      <c r="C66" s="153" t="s">
        <v>89</v>
      </c>
      <c r="D66" s="154">
        <f>101*0.4*5.3</f>
        <v>214.12000000000003</v>
      </c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</row>
    <row r="67" spans="1:27" s="22" customFormat="1" ht="15.75" customHeight="1" x14ac:dyDescent="0.25">
      <c r="A67" s="156"/>
      <c r="B67" s="157"/>
      <c r="C67" s="158" t="s">
        <v>92</v>
      </c>
      <c r="D67" s="159">
        <f>SUM(D56:D66)</f>
        <v>1446.1200000000001</v>
      </c>
      <c r="E67" s="130"/>
      <c r="F67" s="16"/>
      <c r="G67" s="181"/>
      <c r="H67" s="14"/>
      <c r="I67" s="14"/>
      <c r="J67" s="14"/>
      <c r="K67" s="14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</row>
    <row r="68" spans="1:27" s="18" customFormat="1" ht="15.75" customHeight="1" x14ac:dyDescent="0.25">
      <c r="A68" s="163"/>
      <c r="B68" s="164"/>
      <c r="C68" s="165"/>
      <c r="D68" s="166"/>
      <c r="E68" s="130"/>
      <c r="F68" s="16"/>
      <c r="G68" s="182"/>
      <c r="H68" s="21"/>
      <c r="I68" s="21"/>
      <c r="J68" s="20"/>
      <c r="K68" s="20"/>
      <c r="L68" s="19"/>
      <c r="M68" s="19"/>
      <c r="N68" s="19"/>
      <c r="O68" s="19"/>
      <c r="P68" s="19"/>
      <c r="Q68" s="19"/>
      <c r="R68" s="19"/>
      <c r="S68" s="19"/>
    </row>
    <row r="69" spans="1:27" s="17" customFormat="1" ht="15.75" customHeight="1" x14ac:dyDescent="0.25">
      <c r="A69" s="167" t="s">
        <v>101</v>
      </c>
      <c r="B69" s="168"/>
      <c r="C69" s="169"/>
      <c r="D69" s="170"/>
      <c r="E69" s="132"/>
      <c r="F69" s="16"/>
      <c r="G69" s="181"/>
      <c r="H69" s="14"/>
      <c r="I69" s="14"/>
      <c r="J69" s="14"/>
      <c r="K69" s="14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</row>
    <row r="70" spans="1:27" s="17" customFormat="1" ht="15.75" customHeight="1" x14ac:dyDescent="0.25">
      <c r="A70" s="171" t="s">
        <v>179</v>
      </c>
      <c r="B70" s="172" t="s">
        <v>100</v>
      </c>
      <c r="C70" s="172" t="s">
        <v>91</v>
      </c>
      <c r="D70" s="173">
        <v>100</v>
      </c>
      <c r="E70" s="130"/>
      <c r="F70" s="16"/>
      <c r="G70" s="181"/>
      <c r="H70" s="14"/>
      <c r="I70" s="14"/>
      <c r="J70" s="14"/>
      <c r="K70" s="14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</row>
    <row r="71" spans="1:27" s="17" customFormat="1" ht="15.75" customHeight="1" x14ac:dyDescent="0.25">
      <c r="A71" s="171" t="s">
        <v>179</v>
      </c>
      <c r="B71" s="172" t="s">
        <v>99</v>
      </c>
      <c r="C71" s="172" t="s">
        <v>91</v>
      </c>
      <c r="D71" s="173">
        <f>IF(C71&lt;&gt;"", IF(C71="Major",120,IF(C71="Minor", 128, IF(C71="Other",120, 0))), 0)</f>
        <v>120</v>
      </c>
      <c r="E71" s="130"/>
      <c r="F71" s="16"/>
      <c r="G71" s="181"/>
      <c r="H71" s="14"/>
      <c r="I71" s="14"/>
      <c r="J71" s="14"/>
      <c r="K71" s="14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</row>
    <row r="72" spans="1:27" s="17" customFormat="1" ht="15.75" customHeight="1" x14ac:dyDescent="0.25">
      <c r="A72" s="171" t="s">
        <v>179</v>
      </c>
      <c r="B72" s="172" t="s">
        <v>72</v>
      </c>
      <c r="C72" s="172" t="s">
        <v>91</v>
      </c>
      <c r="D72" s="173">
        <f>IF(C72&lt;&gt;"", IF(C72="Major",120,IF(C72="Minor", 128, IF(C72="Other",120, 0))), 0)</f>
        <v>120</v>
      </c>
      <c r="E72" s="130"/>
      <c r="F72" s="16"/>
      <c r="G72" s="181"/>
      <c r="H72" s="14"/>
      <c r="I72" s="14"/>
      <c r="J72" s="14"/>
      <c r="K72" s="14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</row>
    <row r="73" spans="1:27" s="17" customFormat="1" ht="15.75" customHeight="1" x14ac:dyDescent="0.25">
      <c r="A73" s="171" t="s">
        <v>179</v>
      </c>
      <c r="B73" s="172" t="s">
        <v>71</v>
      </c>
      <c r="C73" s="172" t="s">
        <v>91</v>
      </c>
      <c r="D73" s="173">
        <f>IF(C73&lt;&gt;"", IF(C73="Major",120,IF(C73="Minor", 128, IF(C73="Other",120, 0))), 0)</f>
        <v>120</v>
      </c>
      <c r="E73" s="130"/>
      <c r="F73" s="16"/>
      <c r="G73" s="181"/>
      <c r="H73" s="14"/>
      <c r="I73" s="14"/>
      <c r="J73" s="14"/>
      <c r="K73" s="14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</row>
    <row r="74" spans="1:27" s="17" customFormat="1" ht="15.75" customHeight="1" x14ac:dyDescent="0.25">
      <c r="A74" s="171" t="s">
        <v>179</v>
      </c>
      <c r="B74" s="172" t="s">
        <v>98</v>
      </c>
      <c r="C74" s="172" t="s">
        <v>97</v>
      </c>
      <c r="D74" s="173">
        <f>4.1*101*0.4</f>
        <v>165.64</v>
      </c>
      <c r="E74" s="130"/>
      <c r="F74" s="16"/>
      <c r="G74" s="181"/>
      <c r="H74" s="14"/>
      <c r="I74" s="14"/>
      <c r="J74" s="14"/>
      <c r="K74" s="14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</row>
    <row r="75" spans="1:27" s="17" customFormat="1" ht="15.75" customHeight="1" x14ac:dyDescent="0.25">
      <c r="A75" s="171" t="s">
        <v>179</v>
      </c>
      <c r="B75" s="172" t="s">
        <v>96</v>
      </c>
      <c r="C75" s="172" t="s">
        <v>89</v>
      </c>
      <c r="D75" s="173">
        <v>124</v>
      </c>
      <c r="E75" s="130"/>
      <c r="F75" s="16"/>
      <c r="G75" s="181"/>
      <c r="H75" s="14"/>
      <c r="I75" s="14"/>
      <c r="J75" s="14"/>
      <c r="K75" s="14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</row>
    <row r="76" spans="1:27" s="17" customFormat="1" ht="15.75" customHeight="1" x14ac:dyDescent="0.25">
      <c r="A76" s="171" t="s">
        <v>179</v>
      </c>
      <c r="B76" s="172" t="s">
        <v>95</v>
      </c>
      <c r="C76" s="172" t="s">
        <v>89</v>
      </c>
      <c r="D76" s="173">
        <v>124</v>
      </c>
      <c r="E76" s="130"/>
      <c r="F76" s="16"/>
      <c r="G76" s="181"/>
      <c r="H76" s="14"/>
      <c r="I76" s="14"/>
      <c r="J76" s="14"/>
      <c r="K76" s="14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</row>
    <row r="77" spans="1:27" s="17" customFormat="1" ht="15.75" customHeight="1" x14ac:dyDescent="0.25">
      <c r="A77" s="171" t="s">
        <v>179</v>
      </c>
      <c r="B77" s="172" t="s">
        <v>76</v>
      </c>
      <c r="C77" s="172" t="s">
        <v>90</v>
      </c>
      <c r="D77" s="173">
        <f>IF(C77&lt;&gt;"", IF(C77="Major",120,IF(C77="Minor", 128, IF(C77="Other",120, 0))), 0)</f>
        <v>128</v>
      </c>
      <c r="E77" s="130"/>
      <c r="F77" s="16"/>
      <c r="G77" s="181"/>
      <c r="H77" s="14"/>
      <c r="I77" s="14"/>
      <c r="J77" s="14"/>
      <c r="K77" s="14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</row>
    <row r="78" spans="1:27" s="17" customFormat="1" ht="15.75" customHeight="1" x14ac:dyDescent="0.25">
      <c r="A78" s="171" t="s">
        <v>179</v>
      </c>
      <c r="B78" s="172" t="s">
        <v>85</v>
      </c>
      <c r="C78" s="172" t="s">
        <v>89</v>
      </c>
      <c r="D78" s="173">
        <f>IF(C78&lt;&gt;"", IF(C78="Major",120,IF(C78="Minor", 128, IF(C78="Other",120, 0))), 0)</f>
        <v>120</v>
      </c>
      <c r="E78" s="130"/>
      <c r="F78" s="16"/>
      <c r="G78" s="181"/>
      <c r="H78" s="14"/>
      <c r="I78" s="14"/>
      <c r="J78" s="14"/>
      <c r="K78" s="14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</row>
    <row r="79" spans="1:27" s="17" customFormat="1" ht="15.75" customHeight="1" x14ac:dyDescent="0.25">
      <c r="A79" s="171" t="s">
        <v>179</v>
      </c>
      <c r="B79" s="172" t="s">
        <v>85</v>
      </c>
      <c r="C79" s="172" t="s">
        <v>89</v>
      </c>
      <c r="D79" s="173">
        <f>IF(C79&lt;&gt;"", IF(C79="Major",120,IF(C79="Minor", 128, IF(C79="Other",120, 0))), 0)</f>
        <v>120</v>
      </c>
      <c r="E79" s="130"/>
      <c r="F79" s="16"/>
      <c r="G79" s="181"/>
      <c r="H79" s="14"/>
      <c r="I79" s="14"/>
      <c r="J79" s="14"/>
      <c r="K79" s="14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</row>
    <row r="80" spans="1:27" s="17" customFormat="1" ht="15.75" customHeight="1" x14ac:dyDescent="0.25">
      <c r="A80" s="171" t="s">
        <v>179</v>
      </c>
      <c r="B80" s="172" t="s">
        <v>85</v>
      </c>
      <c r="C80" s="172" t="s">
        <v>89</v>
      </c>
      <c r="D80" s="173">
        <f>IF(C80&lt;&gt;"", IF(C80="Major",120,IF(C80="Minor", 128, IF(C80="Other",120, 0))), 0)</f>
        <v>120</v>
      </c>
      <c r="E80" s="130"/>
      <c r="F80" s="16"/>
      <c r="G80" s="181"/>
      <c r="H80" s="14"/>
      <c r="I80" s="14"/>
      <c r="J80" s="14"/>
      <c r="K80" s="14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</row>
    <row r="81" spans="1:27" s="17" customFormat="1" ht="15.75" customHeight="1" x14ac:dyDescent="0.25">
      <c r="A81" s="171" t="s">
        <v>179</v>
      </c>
      <c r="B81" s="172" t="s">
        <v>85</v>
      </c>
      <c r="C81" s="172" t="s">
        <v>89</v>
      </c>
      <c r="D81" s="173">
        <f>IF(C81&lt;&gt;"", IF(C81="Major",120,IF(C81="Minor", 128, IF(C81="Other",120, 0))), 0)</f>
        <v>120</v>
      </c>
      <c r="E81" s="130"/>
      <c r="F81" s="16"/>
      <c r="G81" s="181"/>
      <c r="H81" s="14"/>
      <c r="I81" s="14"/>
      <c r="J81" s="14"/>
      <c r="K81" s="14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</row>
    <row r="82" spans="1:27" s="17" customFormat="1" ht="15.75" customHeight="1" x14ac:dyDescent="0.25">
      <c r="A82" s="171" t="s">
        <v>179</v>
      </c>
      <c r="B82" s="172" t="s">
        <v>85</v>
      </c>
      <c r="C82" s="172" t="s">
        <v>89</v>
      </c>
      <c r="D82" s="173">
        <f>IF(C82&lt;&gt;"", IF(C82="Major",120,IF(C82="Minor", 128, IF(C82="Other",120, 0))), 0)</f>
        <v>120</v>
      </c>
      <c r="E82" s="130"/>
      <c r="F82" s="16"/>
      <c r="G82" s="181"/>
      <c r="H82" s="14"/>
      <c r="I82" s="14"/>
      <c r="J82" s="14"/>
      <c r="K82" s="14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</row>
    <row r="83" spans="1:27" s="17" customFormat="1" ht="15.75" customHeight="1" collapsed="1" x14ac:dyDescent="0.25">
      <c r="A83" s="174"/>
      <c r="B83" s="175"/>
      <c r="C83" s="176" t="s">
        <v>92</v>
      </c>
      <c r="D83" s="177">
        <f>SUM(D70:D82)</f>
        <v>1601.6399999999999</v>
      </c>
      <c r="E83" s="130"/>
      <c r="F83" s="16"/>
      <c r="G83" s="181"/>
      <c r="H83" s="14"/>
      <c r="I83" s="14"/>
      <c r="J83" s="14"/>
      <c r="K83" s="14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</row>
    <row r="84" spans="1:27" s="18" customFormat="1" ht="15.75" customHeight="1" x14ac:dyDescent="0.25">
      <c r="A84" s="178"/>
      <c r="B84" s="178"/>
      <c r="C84" s="178"/>
      <c r="D84" s="179"/>
      <c r="E84" s="130"/>
      <c r="F84" s="16"/>
      <c r="G84" s="182"/>
      <c r="H84" s="21"/>
      <c r="I84" s="21"/>
      <c r="J84" s="20"/>
      <c r="K84" s="20"/>
      <c r="L84" s="19"/>
      <c r="M84" s="19"/>
      <c r="N84" s="19"/>
      <c r="O84" s="19"/>
      <c r="P84" s="19"/>
      <c r="Q84" s="19"/>
      <c r="R84" s="19"/>
      <c r="S84" s="19"/>
    </row>
    <row r="85" spans="1:27" s="17" customFormat="1" ht="15.75" customHeight="1" x14ac:dyDescent="0.25">
      <c r="A85" s="180">
        <v>42309</v>
      </c>
      <c r="B85" s="168"/>
      <c r="C85" s="169"/>
      <c r="D85" s="170"/>
      <c r="E85" s="132"/>
      <c r="F85" s="16"/>
      <c r="G85" s="181"/>
      <c r="H85" s="14"/>
      <c r="I85" s="14"/>
      <c r="J85" s="14"/>
      <c r="K85" s="14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</row>
    <row r="86" spans="1:27" s="17" customFormat="1" ht="15.75" customHeight="1" x14ac:dyDescent="0.25">
      <c r="A86" s="171" t="s">
        <v>179</v>
      </c>
      <c r="B86" s="172" t="s">
        <v>71</v>
      </c>
      <c r="C86" s="172" t="s">
        <v>91</v>
      </c>
      <c r="D86" s="173">
        <f>IF(C86&lt;&gt;"", IF(C86="Major",120,IF(C86="Minor", 128, IF(C86="Other",120, 0))), 0)</f>
        <v>120</v>
      </c>
      <c r="E86" s="130"/>
      <c r="F86" s="16"/>
      <c r="G86" s="181"/>
      <c r="H86" s="14"/>
      <c r="I86" s="14"/>
      <c r="J86" s="14"/>
      <c r="K86" s="14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</row>
    <row r="87" spans="1:27" s="17" customFormat="1" ht="15.75" customHeight="1" x14ac:dyDescent="0.25">
      <c r="A87" s="171" t="s">
        <v>179</v>
      </c>
      <c r="B87" s="172" t="s">
        <v>84</v>
      </c>
      <c r="C87" s="172" t="s">
        <v>91</v>
      </c>
      <c r="D87" s="173">
        <v>120</v>
      </c>
      <c r="E87" s="130"/>
      <c r="F87" s="16"/>
      <c r="G87" s="181"/>
      <c r="H87" s="14"/>
      <c r="I87" s="14"/>
      <c r="J87" s="14"/>
      <c r="K87" s="14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</row>
    <row r="88" spans="1:27" s="17" customFormat="1" ht="15.75" customHeight="1" x14ac:dyDescent="0.25">
      <c r="A88" s="171" t="s">
        <v>179</v>
      </c>
      <c r="B88" s="172" t="s">
        <v>82</v>
      </c>
      <c r="C88" s="172" t="s">
        <v>91</v>
      </c>
      <c r="D88" s="173">
        <v>120</v>
      </c>
      <c r="E88" s="130"/>
      <c r="F88" s="16"/>
      <c r="G88" s="181"/>
      <c r="H88" s="14"/>
      <c r="I88" s="14"/>
      <c r="J88" s="14"/>
      <c r="K88" s="14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</row>
    <row r="89" spans="1:27" s="17" customFormat="1" ht="15.75" customHeight="1" x14ac:dyDescent="0.25">
      <c r="A89" s="171" t="s">
        <v>179</v>
      </c>
      <c r="B89" s="172" t="s">
        <v>84</v>
      </c>
      <c r="C89" s="172" t="s">
        <v>91</v>
      </c>
      <c r="D89" s="173">
        <v>120</v>
      </c>
      <c r="E89" s="130"/>
      <c r="F89" s="16"/>
      <c r="G89" s="181"/>
      <c r="H89" s="14"/>
      <c r="I89" s="14"/>
      <c r="J89" s="14"/>
      <c r="K89" s="14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</row>
    <row r="90" spans="1:27" s="17" customFormat="1" ht="15.75" customHeight="1" x14ac:dyDescent="0.25">
      <c r="A90" s="171" t="s">
        <v>179</v>
      </c>
      <c r="B90" s="172" t="s">
        <v>74</v>
      </c>
      <c r="C90" s="172" t="s">
        <v>91</v>
      </c>
      <c r="D90" s="173">
        <v>120</v>
      </c>
      <c r="E90" s="130"/>
      <c r="F90" s="16"/>
      <c r="G90" s="181"/>
      <c r="H90" s="14"/>
      <c r="I90" s="14"/>
      <c r="J90" s="14"/>
      <c r="K90" s="14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</row>
    <row r="91" spans="1:27" s="17" customFormat="1" ht="15.75" customHeight="1" x14ac:dyDescent="0.25">
      <c r="A91" s="171" t="s">
        <v>179</v>
      </c>
      <c r="B91" s="172" t="s">
        <v>83</v>
      </c>
      <c r="C91" s="172" t="s">
        <v>89</v>
      </c>
      <c r="D91" s="173">
        <v>128</v>
      </c>
      <c r="E91" s="130"/>
      <c r="F91" s="16"/>
      <c r="G91" s="181"/>
      <c r="H91" s="14"/>
      <c r="I91" s="14"/>
      <c r="J91" s="14"/>
      <c r="K91" s="14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</row>
    <row r="92" spans="1:27" s="17" customFormat="1" ht="15.75" customHeight="1" x14ac:dyDescent="0.25">
      <c r="A92" s="171" t="s">
        <v>179</v>
      </c>
      <c r="B92" s="172" t="s">
        <v>82</v>
      </c>
      <c r="C92" s="172" t="s">
        <v>90</v>
      </c>
      <c r="D92" s="173">
        <f>IF(C92&lt;&gt;"", IF(C92="Major",120,IF(C92="Minor", 128, IF(C92="Other",120, 0))), 0)</f>
        <v>128</v>
      </c>
      <c r="E92" s="130"/>
      <c r="F92" s="16"/>
      <c r="G92" s="181"/>
      <c r="H92" s="14"/>
      <c r="I92" s="14"/>
      <c r="J92" s="14"/>
      <c r="K92" s="14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</row>
    <row r="93" spans="1:27" s="17" customFormat="1" ht="15.75" customHeight="1" x14ac:dyDescent="0.25">
      <c r="A93" s="171" t="s">
        <v>179</v>
      </c>
      <c r="B93" s="172" t="s">
        <v>120</v>
      </c>
      <c r="C93" s="172" t="s">
        <v>90</v>
      </c>
      <c r="D93" s="173">
        <f>IF(C93&lt;&gt;"", IF(C93="Major",120,IF(C93="Minor", 128, IF(C93="Other",120, 0))), 0)</f>
        <v>128</v>
      </c>
      <c r="E93" s="130"/>
      <c r="F93" s="16"/>
      <c r="G93" s="181"/>
      <c r="H93" s="14"/>
      <c r="I93" s="14"/>
      <c r="J93" s="14"/>
      <c r="K93" s="14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</row>
    <row r="94" spans="1:27" s="17" customFormat="1" ht="15.75" customHeight="1" x14ac:dyDescent="0.25">
      <c r="A94" s="171" t="s">
        <v>179</v>
      </c>
      <c r="B94" s="172" t="s">
        <v>74</v>
      </c>
      <c r="C94" s="172" t="s">
        <v>90</v>
      </c>
      <c r="D94" s="173">
        <f>IF(C94&lt;&gt;"", IF(C94="Major",120,IF(C94="Minor", 128, IF(C94="Other",120, 0))), 0)</f>
        <v>128</v>
      </c>
      <c r="E94" s="130"/>
      <c r="F94" s="16"/>
      <c r="G94" s="181"/>
      <c r="H94" s="14"/>
      <c r="I94" s="14"/>
      <c r="J94" s="14"/>
      <c r="K94" s="14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</row>
    <row r="95" spans="1:27" s="17" customFormat="1" ht="15.75" customHeight="1" x14ac:dyDescent="0.25">
      <c r="A95" s="171" t="s">
        <v>179</v>
      </c>
      <c r="B95" s="172" t="s">
        <v>74</v>
      </c>
      <c r="C95" s="172" t="s">
        <v>90</v>
      </c>
      <c r="D95" s="173">
        <f>IF(C95&lt;&gt;"", IF(C95="Major",120,IF(C95="Minor", 128, IF(C95="Other",120, 0))), 0)</f>
        <v>128</v>
      </c>
      <c r="E95" s="130"/>
      <c r="F95" s="16"/>
      <c r="G95" s="181"/>
      <c r="H95" s="14"/>
      <c r="I95" s="14"/>
      <c r="J95" s="14"/>
      <c r="K95" s="14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</row>
    <row r="96" spans="1:27" s="17" customFormat="1" ht="15.75" customHeight="1" x14ac:dyDescent="0.25">
      <c r="A96" s="171" t="s">
        <v>179</v>
      </c>
      <c r="B96" s="172" t="s">
        <v>182</v>
      </c>
      <c r="C96" s="172" t="s">
        <v>89</v>
      </c>
      <c r="D96" s="173">
        <f>IF(C96&lt;&gt;"", IF(C96="Major",120,IF(C96="Minor", 128, IF(C96="Other",120, 0))), 0)</f>
        <v>120</v>
      </c>
      <c r="E96" s="130"/>
      <c r="F96" s="16"/>
      <c r="G96" s="181"/>
      <c r="H96" s="14"/>
      <c r="I96" s="14"/>
      <c r="J96" s="14"/>
      <c r="K96" s="14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</row>
    <row r="97" spans="1:27" s="17" customFormat="1" ht="15.75" customHeight="1" x14ac:dyDescent="0.25">
      <c r="A97" s="171" t="s">
        <v>179</v>
      </c>
      <c r="B97" s="172" t="s">
        <v>94</v>
      </c>
      <c r="C97" s="172" t="s">
        <v>89</v>
      </c>
      <c r="D97" s="173">
        <f>IF(C97&lt;&gt;"", IF(C97="Major",120,IF(C97="Minor", 128, IF(C97="Other",120, 0))), 0)</f>
        <v>120</v>
      </c>
      <c r="E97" s="130"/>
      <c r="F97" s="16"/>
      <c r="G97" s="181"/>
      <c r="H97" s="14"/>
      <c r="I97" s="14"/>
      <c r="J97" s="14"/>
      <c r="K97" s="14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</row>
    <row r="98" spans="1:27" s="17" customFormat="1" ht="15.75" customHeight="1" x14ac:dyDescent="0.25">
      <c r="A98" s="171" t="s">
        <v>179</v>
      </c>
      <c r="B98" s="172" t="s">
        <v>93</v>
      </c>
      <c r="C98" s="172" t="s">
        <v>89</v>
      </c>
      <c r="D98" s="173">
        <f>IF(C98&lt;&gt;"", IF(C98="Major",120,IF(C98="Minor", 128, IF(C98="Other",120, 0))), 0)</f>
        <v>120</v>
      </c>
      <c r="E98" s="130"/>
      <c r="F98" s="16"/>
      <c r="G98" s="181"/>
      <c r="H98" s="14"/>
      <c r="I98" s="14"/>
      <c r="J98" s="14"/>
      <c r="K98" s="14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</row>
    <row r="99" spans="1:27" s="17" customFormat="1" ht="15.75" customHeight="1" x14ac:dyDescent="0.25">
      <c r="A99" s="171" t="s">
        <v>179</v>
      </c>
      <c r="B99" s="172" t="s">
        <v>85</v>
      </c>
      <c r="C99" s="172" t="s">
        <v>89</v>
      </c>
      <c r="D99" s="173">
        <f>IF(C99&lt;&gt;"", IF(C99="Major",120,IF(C99="Minor", 128, IF(C99="Other",120, 0))), 0)</f>
        <v>120</v>
      </c>
      <c r="E99" s="130"/>
      <c r="F99" s="16"/>
      <c r="G99" s="181"/>
      <c r="H99" s="14"/>
      <c r="I99" s="14"/>
      <c r="J99" s="14"/>
      <c r="K99" s="14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</row>
    <row r="100" spans="1:27" s="17" customFormat="1" ht="15.75" customHeight="1" x14ac:dyDescent="0.25">
      <c r="A100" s="171" t="s">
        <v>179</v>
      </c>
      <c r="B100" s="172" t="s">
        <v>85</v>
      </c>
      <c r="C100" s="172" t="s">
        <v>89</v>
      </c>
      <c r="D100" s="173">
        <f>IF(C100&lt;&gt;"", IF(C100="Major",120,IF(C100="Minor", 128, IF(C100="Other",120, 0))), 0)</f>
        <v>120</v>
      </c>
      <c r="E100" s="130"/>
      <c r="F100" s="16"/>
      <c r="G100" s="181"/>
      <c r="H100" s="14"/>
      <c r="I100" s="14"/>
      <c r="J100" s="14"/>
      <c r="K100" s="14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</row>
    <row r="101" spans="1:27" s="17" customFormat="1" ht="15.75" customHeight="1" x14ac:dyDescent="0.25">
      <c r="A101" s="171" t="s">
        <v>179</v>
      </c>
      <c r="B101" s="172" t="s">
        <v>87</v>
      </c>
      <c r="C101" s="172" t="s">
        <v>89</v>
      </c>
      <c r="D101" s="173">
        <f>IF(C101&lt;&gt;"", IF(C101="Major",120,IF(C101="Minor", 128, IF(C101="Other",120, 0))), 0)</f>
        <v>120</v>
      </c>
      <c r="E101" s="130"/>
      <c r="F101" s="16"/>
      <c r="G101" s="181"/>
      <c r="H101" s="14"/>
      <c r="I101" s="14"/>
      <c r="J101" s="14"/>
      <c r="K101" s="14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</row>
    <row r="102" spans="1:27" s="17" customFormat="1" ht="15.75" customHeight="1" x14ac:dyDescent="0.25">
      <c r="A102" s="171" t="s">
        <v>179</v>
      </c>
      <c r="B102" s="172" t="s">
        <v>88</v>
      </c>
      <c r="C102" s="172" t="s">
        <v>89</v>
      </c>
      <c r="D102" s="173">
        <f>IF(C102&lt;&gt;"", IF(C102="Major",120,IF(C102="Minor", 128, IF(C102="Other",120, 0))), 0)</f>
        <v>120</v>
      </c>
      <c r="E102" s="130"/>
      <c r="F102" s="16"/>
      <c r="G102" s="181"/>
      <c r="H102" s="14"/>
      <c r="I102" s="14"/>
      <c r="J102" s="14"/>
      <c r="K102" s="14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</row>
    <row r="103" spans="1:27" s="17" customFormat="1" ht="15.75" customHeight="1" x14ac:dyDescent="0.25">
      <c r="A103" s="174"/>
      <c r="B103" s="175"/>
      <c r="C103" s="176" t="s">
        <v>92</v>
      </c>
      <c r="D103" s="177">
        <f>SUM(D86:D102)</f>
        <v>2080</v>
      </c>
      <c r="E103" s="130"/>
      <c r="F103" s="16"/>
      <c r="G103" s="181"/>
      <c r="H103" s="14"/>
      <c r="I103" s="14"/>
      <c r="J103" s="14"/>
      <c r="K103" s="14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</row>
    <row r="104" spans="1:27" s="18" customFormat="1" ht="15.75" customHeight="1" x14ac:dyDescent="0.25">
      <c r="A104" s="178"/>
      <c r="B104" s="178"/>
      <c r="C104" s="178"/>
      <c r="D104" s="178"/>
      <c r="E104" s="130"/>
      <c r="F104" s="16"/>
      <c r="G104" s="182"/>
      <c r="H104" s="21"/>
      <c r="I104" s="21"/>
      <c r="J104" s="20"/>
      <c r="K104" s="20"/>
      <c r="L104" s="19"/>
      <c r="M104" s="19"/>
      <c r="N104" s="19"/>
      <c r="O104" s="19"/>
      <c r="P104" s="19"/>
      <c r="Q104" s="19"/>
      <c r="R104" s="19"/>
      <c r="S104" s="19"/>
    </row>
    <row r="105" spans="1:27" ht="15.75" customHeight="1" x14ac:dyDescent="0.25"/>
    <row r="106" spans="1:27" ht="15.75" customHeight="1" x14ac:dyDescent="0.25"/>
    <row r="107" spans="1:27" ht="15.75" customHeight="1" x14ac:dyDescent="0.25"/>
    <row r="108" spans="1:27" ht="15.75" customHeight="1" x14ac:dyDescent="0.25"/>
    <row r="109" spans="1:27" ht="15.75" customHeight="1" x14ac:dyDescent="0.25"/>
    <row r="110" spans="1:27" ht="15.75" customHeight="1" x14ac:dyDescent="0.25"/>
    <row r="111" spans="1:27" ht="15.75" customHeight="1" x14ac:dyDescent="0.25"/>
    <row r="112" spans="1:27" ht="15.75" customHeight="1" x14ac:dyDescent="0.25"/>
    <row r="113" ht="15.75" customHeight="1" x14ac:dyDescent="0.25"/>
    <row r="114" ht="15.75" customHeight="1" x14ac:dyDescent="0.25"/>
    <row r="115" ht="15.75" customHeight="1" collapsed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collapsed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collapsed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collapsed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collapsed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collapsed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collapsed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0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collapsed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collapsed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collapsed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collapsed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collapsed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collapsed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collapsed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collapsed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collapsed="1" x14ac:dyDescent="0.25"/>
    <row r="276" ht="15.75" customHeight="1" x14ac:dyDescent="0.25"/>
    <row r="279" ht="15.75" customHeight="1" x14ac:dyDescent="0.25"/>
    <row r="280" ht="15.75" customHeight="1" x14ac:dyDescent="0.25"/>
  </sheetData>
  <conditionalFormatting sqref="B17:D17 B20:D21 B23:D23 B11:D12 A4:D4 A7:A23 A56:D66 A42:D52 A86:D102 A28:D38 A70:D81">
    <cfRule type="expression" dxfId="93" priority="3697">
      <formula>ISEVEN(ROW())</formula>
    </cfRule>
  </conditionalFormatting>
  <conditionalFormatting sqref="A82:D82">
    <cfRule type="expression" dxfId="92" priority="3659">
      <formula>ISEVEN(ROW())</formula>
    </cfRule>
  </conditionalFormatting>
  <conditionalFormatting sqref="E17 E20:E21 E23 E11:E12 E4 E56:E66 E42:E52 E86:E102 E28:E38 E70:E82">
    <cfRule type="expression" dxfId="91" priority="3586">
      <formula>ISODD(ROW())</formula>
    </cfRule>
    <cfRule type="expression" dxfId="90" priority="3587">
      <formula>ISEVEN(ROW())</formula>
    </cfRule>
  </conditionalFormatting>
  <conditionalFormatting sqref="B16:D16">
    <cfRule type="expression" dxfId="89" priority="471">
      <formula>ISEVEN(ROW())</formula>
    </cfRule>
  </conditionalFormatting>
  <conditionalFormatting sqref="E16">
    <cfRule type="expression" dxfId="88" priority="469">
      <formula>ISODD(ROW())</formula>
    </cfRule>
    <cfRule type="expression" dxfId="87" priority="470">
      <formula>ISEVEN(ROW())</formula>
    </cfRule>
  </conditionalFormatting>
  <conditionalFormatting sqref="B16:D16">
    <cfRule type="expression" dxfId="86" priority="468">
      <formula>ISEVEN(ROW())</formula>
    </cfRule>
  </conditionalFormatting>
  <conditionalFormatting sqref="E16">
    <cfRule type="expression" dxfId="85" priority="466">
      <formula>ISODD(ROW())</formula>
    </cfRule>
    <cfRule type="expression" dxfId="84" priority="467">
      <formula>ISEVEN(ROW())</formula>
    </cfRule>
  </conditionalFormatting>
  <conditionalFormatting sqref="B13:D13">
    <cfRule type="expression" dxfId="83" priority="462">
      <formula>ISEVEN(ROW())</formula>
    </cfRule>
  </conditionalFormatting>
  <conditionalFormatting sqref="E13">
    <cfRule type="expression" dxfId="82" priority="460">
      <formula>ISODD(ROW())</formula>
    </cfRule>
    <cfRule type="expression" dxfId="81" priority="461">
      <formula>ISEVEN(ROW())</formula>
    </cfRule>
  </conditionalFormatting>
  <conditionalFormatting sqref="B13:D13">
    <cfRule type="expression" dxfId="80" priority="465">
      <formula>ISEVEN(ROW())</formula>
    </cfRule>
  </conditionalFormatting>
  <conditionalFormatting sqref="E13">
    <cfRule type="expression" dxfId="79" priority="463">
      <formula>ISODD(ROW())</formula>
    </cfRule>
    <cfRule type="expression" dxfId="78" priority="464">
      <formula>ISEVEN(ROW())</formula>
    </cfRule>
  </conditionalFormatting>
  <conditionalFormatting sqref="B18:D18">
    <cfRule type="expression" dxfId="77" priority="456">
      <formula>ISEVEN(ROW())</formula>
    </cfRule>
  </conditionalFormatting>
  <conditionalFormatting sqref="E18">
    <cfRule type="expression" dxfId="76" priority="454">
      <formula>ISODD(ROW())</formula>
    </cfRule>
    <cfRule type="expression" dxfId="75" priority="455">
      <formula>ISEVEN(ROW())</formula>
    </cfRule>
  </conditionalFormatting>
  <conditionalFormatting sqref="B18:D18">
    <cfRule type="expression" dxfId="74" priority="459">
      <formula>ISEVEN(ROW())</formula>
    </cfRule>
  </conditionalFormatting>
  <conditionalFormatting sqref="E18">
    <cfRule type="expression" dxfId="73" priority="457">
      <formula>ISODD(ROW())</formula>
    </cfRule>
    <cfRule type="expression" dxfId="72" priority="458">
      <formula>ISEVEN(ROW())</formula>
    </cfRule>
  </conditionalFormatting>
  <conditionalFormatting sqref="B19:D19">
    <cfRule type="expression" dxfId="71" priority="426">
      <formula>ISEVEN(ROW())</formula>
    </cfRule>
  </conditionalFormatting>
  <conditionalFormatting sqref="E19">
    <cfRule type="expression" dxfId="70" priority="424">
      <formula>ISODD(ROW())</formula>
    </cfRule>
    <cfRule type="expression" dxfId="69" priority="425">
      <formula>ISEVEN(ROW())</formula>
    </cfRule>
  </conditionalFormatting>
  <conditionalFormatting sqref="B19:D19">
    <cfRule type="expression" dxfId="68" priority="423">
      <formula>ISEVEN(ROW())</formula>
    </cfRule>
  </conditionalFormatting>
  <conditionalFormatting sqref="E19">
    <cfRule type="expression" dxfId="67" priority="421">
      <formula>ISODD(ROW())</formula>
    </cfRule>
    <cfRule type="expression" dxfId="66" priority="422">
      <formula>ISEVEN(ROW())</formula>
    </cfRule>
  </conditionalFormatting>
  <conditionalFormatting sqref="B14:D15">
    <cfRule type="expression" dxfId="65" priority="333">
      <formula>ISEVEN(ROW())</formula>
    </cfRule>
  </conditionalFormatting>
  <conditionalFormatting sqref="B14:D15">
    <cfRule type="expression" dxfId="64" priority="330">
      <formula>ISEVEN(ROW())</formula>
    </cfRule>
  </conditionalFormatting>
  <conditionalFormatting sqref="E14:E15">
    <cfRule type="expression" dxfId="63" priority="328">
      <formula>ISODD(ROW())</formula>
    </cfRule>
    <cfRule type="expression" dxfId="62" priority="329">
      <formula>ISEVEN(ROW())</formula>
    </cfRule>
  </conditionalFormatting>
  <conditionalFormatting sqref="E14:E15">
    <cfRule type="expression" dxfId="61" priority="331">
      <formula>ISODD(ROW())</formula>
    </cfRule>
    <cfRule type="expression" dxfId="60" priority="332">
      <formula>ISEVEN(ROW())</formula>
    </cfRule>
  </conditionalFormatting>
  <conditionalFormatting sqref="B11:D12">
    <cfRule type="expression" dxfId="59" priority="257">
      <formula>ISEVEN(ROW())</formula>
    </cfRule>
  </conditionalFormatting>
  <conditionalFormatting sqref="E11:E12">
    <cfRule type="expression" dxfId="58" priority="255">
      <formula>ISODD(ROW())</formula>
    </cfRule>
    <cfRule type="expression" dxfId="57" priority="256">
      <formula>ISEVEN(ROW())</formula>
    </cfRule>
  </conditionalFormatting>
  <conditionalFormatting sqref="B22:D22">
    <cfRule type="expression" dxfId="56" priority="99">
      <formula>ISEVEN(ROW())</formula>
    </cfRule>
  </conditionalFormatting>
  <conditionalFormatting sqref="E22">
    <cfRule type="expression" dxfId="55" priority="97">
      <formula>ISODD(ROW())</formula>
    </cfRule>
    <cfRule type="expression" dxfId="54" priority="98">
      <formula>ISEVEN(ROW())</formula>
    </cfRule>
  </conditionalFormatting>
  <conditionalFormatting sqref="B22:D22">
    <cfRule type="expression" dxfId="53" priority="102">
      <formula>ISEVEN(ROW())</formula>
    </cfRule>
  </conditionalFormatting>
  <conditionalFormatting sqref="E22">
    <cfRule type="expression" dxfId="52" priority="100">
      <formula>ISODD(ROW())</formula>
    </cfRule>
    <cfRule type="expression" dxfId="51" priority="101">
      <formula>ISEVEN(ROW())</formula>
    </cfRule>
  </conditionalFormatting>
  <conditionalFormatting sqref="E11">
    <cfRule type="expression" dxfId="50" priority="91">
      <formula>ISODD(ROW())</formula>
    </cfRule>
    <cfRule type="expression" dxfId="49" priority="92">
      <formula>ISEVEN(ROW())</formula>
    </cfRule>
  </conditionalFormatting>
  <conditionalFormatting sqref="B11:D11">
    <cfRule type="expression" dxfId="48" priority="93">
      <formula>ISEVEN(ROW())</formula>
    </cfRule>
  </conditionalFormatting>
  <conditionalFormatting sqref="B11:D11">
    <cfRule type="expression" dxfId="47" priority="96">
      <formula>ISEVEN(ROW())</formula>
    </cfRule>
  </conditionalFormatting>
  <conditionalFormatting sqref="E11">
    <cfRule type="expression" dxfId="46" priority="94">
      <formula>ISODD(ROW())</formula>
    </cfRule>
    <cfRule type="expression" dxfId="45" priority="95">
      <formula>ISEVEN(ROW())</formula>
    </cfRule>
  </conditionalFormatting>
  <conditionalFormatting sqref="B23:D23">
    <cfRule type="expression" dxfId="44" priority="87">
      <formula>ISEVEN(ROW())</formula>
    </cfRule>
  </conditionalFormatting>
  <conditionalFormatting sqref="E23">
    <cfRule type="expression" dxfId="43" priority="85">
      <formula>ISODD(ROW())</formula>
    </cfRule>
    <cfRule type="expression" dxfId="42" priority="86">
      <formula>ISEVEN(ROW())</formula>
    </cfRule>
  </conditionalFormatting>
  <conditionalFormatting sqref="B23:D23">
    <cfRule type="expression" dxfId="41" priority="90">
      <formula>ISEVEN(ROW())</formula>
    </cfRule>
  </conditionalFormatting>
  <conditionalFormatting sqref="E23">
    <cfRule type="expression" dxfId="40" priority="88">
      <formula>ISODD(ROW())</formula>
    </cfRule>
    <cfRule type="expression" dxfId="39" priority="89">
      <formula>ISEVEN(ROW())</formula>
    </cfRule>
  </conditionalFormatting>
  <conditionalFormatting sqref="B11:D12">
    <cfRule type="expression" dxfId="38" priority="63">
      <formula>ISEVEN(ROW())</formula>
    </cfRule>
  </conditionalFormatting>
  <conditionalFormatting sqref="E11:E12">
    <cfRule type="expression" dxfId="37" priority="61">
      <formula>ISODD(ROW())</formula>
    </cfRule>
    <cfRule type="expression" dxfId="36" priority="62">
      <formula>ISEVEN(ROW())</formula>
    </cfRule>
  </conditionalFormatting>
  <conditionalFormatting sqref="B11:D12">
    <cfRule type="expression" dxfId="35" priority="66">
      <formula>ISEVEN(ROW())</formula>
    </cfRule>
  </conditionalFormatting>
  <conditionalFormatting sqref="E11:E12">
    <cfRule type="expression" dxfId="34" priority="64">
      <formula>ISODD(ROW())</formula>
    </cfRule>
    <cfRule type="expression" dxfId="33" priority="65">
      <formula>ISEVEN(ROW())</formula>
    </cfRule>
  </conditionalFormatting>
  <conditionalFormatting sqref="B10:D10">
    <cfRule type="expression" dxfId="32" priority="60">
      <formula>ISEVEN(ROW())</formula>
    </cfRule>
  </conditionalFormatting>
  <conditionalFormatting sqref="E10">
    <cfRule type="expression" dxfId="31" priority="58">
      <formula>ISODD(ROW())</formula>
    </cfRule>
    <cfRule type="expression" dxfId="30" priority="59">
      <formula>ISEVEN(ROW())</formula>
    </cfRule>
  </conditionalFormatting>
  <conditionalFormatting sqref="B10:D10">
    <cfRule type="expression" dxfId="29" priority="57">
      <formula>ISEVEN(ROW())</formula>
    </cfRule>
  </conditionalFormatting>
  <conditionalFormatting sqref="E10">
    <cfRule type="expression" dxfId="28" priority="55">
      <formula>ISODD(ROW())</formula>
    </cfRule>
    <cfRule type="expression" dxfId="27" priority="56">
      <formula>ISEVEN(ROW())</formula>
    </cfRule>
  </conditionalFormatting>
  <conditionalFormatting sqref="B10:D10">
    <cfRule type="expression" dxfId="26" priority="51">
      <formula>ISEVEN(ROW())</formula>
    </cfRule>
  </conditionalFormatting>
  <conditionalFormatting sqref="E10">
    <cfRule type="expression" dxfId="25" priority="49">
      <formula>ISODD(ROW())</formula>
    </cfRule>
    <cfRule type="expression" dxfId="24" priority="50">
      <formula>ISEVEN(ROW())</formula>
    </cfRule>
  </conditionalFormatting>
  <conditionalFormatting sqref="B10:D10">
    <cfRule type="expression" dxfId="23" priority="54">
      <formula>ISEVEN(ROW())</formula>
    </cfRule>
  </conditionalFormatting>
  <conditionalFormatting sqref="E10">
    <cfRule type="expression" dxfId="22" priority="52">
      <formula>ISODD(ROW())</formula>
    </cfRule>
    <cfRule type="expression" dxfId="21" priority="53">
      <formula>ISEVEN(ROW())</formula>
    </cfRule>
  </conditionalFormatting>
  <conditionalFormatting sqref="B8:D8">
    <cfRule type="expression" dxfId="20" priority="48">
      <formula>ISEVEN(ROW())</formula>
    </cfRule>
  </conditionalFormatting>
  <conditionalFormatting sqref="E8">
    <cfRule type="expression" dxfId="19" priority="46">
      <formula>ISODD(ROW())</formula>
    </cfRule>
    <cfRule type="expression" dxfId="18" priority="47">
      <formula>ISEVEN(ROW())</formula>
    </cfRule>
  </conditionalFormatting>
  <conditionalFormatting sqref="A6:D6">
    <cfRule type="expression" dxfId="17" priority="42">
      <formula>ISEVEN(ROW())</formula>
    </cfRule>
  </conditionalFormatting>
  <conditionalFormatting sqref="E6">
    <cfRule type="expression" dxfId="16" priority="40">
      <formula>ISODD(ROW())</formula>
    </cfRule>
    <cfRule type="expression" dxfId="15" priority="41">
      <formula>ISEVEN(ROW())</formula>
    </cfRule>
  </conditionalFormatting>
  <conditionalFormatting sqref="B7:D7">
    <cfRule type="expression" dxfId="14" priority="39">
      <formula>ISEVEN(ROW())</formula>
    </cfRule>
  </conditionalFormatting>
  <conditionalFormatting sqref="E7">
    <cfRule type="expression" dxfId="13" priority="37">
      <formula>ISODD(ROW())</formula>
    </cfRule>
    <cfRule type="expression" dxfId="12" priority="38">
      <formula>ISEVEN(ROW())</formula>
    </cfRule>
  </conditionalFormatting>
  <conditionalFormatting sqref="B9:D9">
    <cfRule type="expression" dxfId="11" priority="23">
      <formula>ISEVEN(ROW())</formula>
    </cfRule>
  </conditionalFormatting>
  <conditionalFormatting sqref="E9">
    <cfRule type="expression" dxfId="10" priority="21">
      <formula>ISODD(ROW())</formula>
    </cfRule>
    <cfRule type="expression" dxfId="9" priority="22">
      <formula>ISEVEN(ROW())</formula>
    </cfRule>
  </conditionalFormatting>
  <conditionalFormatting sqref="B9:D9">
    <cfRule type="expression" dxfId="8" priority="20">
      <formula>ISEVEN(ROW())</formula>
    </cfRule>
  </conditionalFormatting>
  <conditionalFormatting sqref="E9">
    <cfRule type="expression" dxfId="7" priority="18">
      <formula>ISODD(ROW())</formula>
    </cfRule>
    <cfRule type="expression" dxfId="6" priority="19">
      <formula>ISEVEN(ROW())</formula>
    </cfRule>
  </conditionalFormatting>
  <conditionalFormatting sqref="B9:D9">
    <cfRule type="expression" dxfId="5" priority="14">
      <formula>ISEVEN(ROW())</formula>
    </cfRule>
  </conditionalFormatting>
  <conditionalFormatting sqref="E9">
    <cfRule type="expression" dxfId="4" priority="12">
      <formula>ISODD(ROW())</formula>
    </cfRule>
    <cfRule type="expression" dxfId="3" priority="13">
      <formula>ISEVEN(ROW())</formula>
    </cfRule>
  </conditionalFormatting>
  <conditionalFormatting sqref="B9:D9">
    <cfRule type="expression" dxfId="2" priority="17">
      <formula>ISEVEN(ROW())</formula>
    </cfRule>
  </conditionalFormatting>
  <conditionalFormatting sqref="E9">
    <cfRule type="expression" dxfId="1" priority="15">
      <formula>ISODD(ROW())</formula>
    </cfRule>
    <cfRule type="expression" dxfId="0" priority="16">
      <formula>ISEVEN(ROW())</formula>
    </cfRule>
  </conditionalFormatting>
  <dataValidations count="3">
    <dataValidation type="list" showInputMessage="1" sqref="C2:C3 C5:C7 C9:C12" xr:uid="{00000000-0002-0000-0400-000001000000}">
      <formula1>MM</formula1>
    </dataValidation>
    <dataValidation type="list" showInputMessage="1" sqref="B56:B66 B42:B52 B86:B102 B4:B23 B28:B38 B70:B82" xr:uid="{00000000-0002-0000-0400-000000000000}">
      <formula1>Matters</formula1>
    </dataValidation>
    <dataValidation type="list" showInputMessage="1" sqref="C4:C23" xr:uid="{00000000-0002-0000-0400-000002000000}">
      <formula1>TYPE</formula1>
    </dataValidation>
  </dataValidations>
  <pageMargins left="0.7" right="0.7" top="0.75" bottom="0.75" header="0.3" footer="0.3"/>
  <pageSetup paperSize="17"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5" shapeId="2060" r:id="rId4">
          <objectPr defaultSize="0" autoPict="0" r:id="rId5">
            <anchor moveWithCells="1">
              <from>
                <xdr:col>4</xdr:col>
                <xdr:colOff>114300</xdr:colOff>
                <xdr:row>0</xdr:row>
                <xdr:rowOff>38100</xdr:rowOff>
              </from>
              <to>
                <xdr:col>4</xdr:col>
                <xdr:colOff>285750</xdr:colOff>
                <xdr:row>0</xdr:row>
                <xdr:rowOff>209550</xdr:rowOff>
              </to>
            </anchor>
          </objectPr>
        </oleObject>
      </mc:Choice>
      <mc:Fallback>
        <oleObject progId="Visio.Drawing.15" shapeId="2060" r:id="rId4"/>
      </mc:Fallback>
    </mc:AlternateContent>
  </oleObjects>
  <controls>
    <mc:AlternateContent xmlns:mc="http://schemas.openxmlformats.org/markup-compatibility/2006">
      <mc:Choice Requires="x14">
        <control shapeId="2058" r:id="rId6" name="RowDelete">
          <controlPr defaultSize="0" autoLine="0" r:id="rId7">
            <anchor>
              <from>
                <xdr:col>0</xdr:col>
                <xdr:colOff>276225</xdr:colOff>
                <xdr:row>0</xdr:row>
                <xdr:rowOff>0</xdr:rowOff>
              </from>
              <to>
                <xdr:col>0</xdr:col>
                <xdr:colOff>552450</xdr:colOff>
                <xdr:row>1</xdr:row>
                <xdr:rowOff>0</xdr:rowOff>
              </to>
            </anchor>
          </controlPr>
        </control>
      </mc:Choice>
      <mc:Fallback>
        <control shapeId="2058" r:id="rId6" name="RowDelete"/>
      </mc:Fallback>
    </mc:AlternateContent>
    <mc:AlternateContent xmlns:mc="http://schemas.openxmlformats.org/markup-compatibility/2006">
      <mc:Choice Requires="x14">
        <control shapeId="2059" r:id="rId8" name="WIDE_BAR">
          <controlPr defaultSize="0" autoLine="0" r:id="rId9">
            <anchor moveWithCells="1" sizeWithCells="1">
              <from>
                <xdr:col>0</xdr:col>
                <xdr:colOff>552450</xdr:colOff>
                <xdr:row>0</xdr:row>
                <xdr:rowOff>0</xdr:rowOff>
              </from>
              <to>
                <xdr:col>4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59" r:id="rId8" name="WIDE_BAR"/>
      </mc:Fallback>
    </mc:AlternateContent>
    <mc:AlternateContent xmlns:mc="http://schemas.openxmlformats.org/markup-compatibility/2006">
      <mc:Choice Requires="x14">
        <control shapeId="2061" r:id="rId10" name="ShowHide">
          <controlPr defaultSize="0" autoLine="0" r:id="rId11">
            <anchor moveWithCells="1" sizeWithCells="1">
              <from>
                <xdr:col>4</xdr:col>
                <xdr:colOff>0</xdr:colOff>
                <xdr:row>0</xdr:row>
                <xdr:rowOff>9525</xdr:rowOff>
              </from>
              <to>
                <xdr:col>5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61" r:id="rId10" name="ShowHide"/>
      </mc:Fallback>
    </mc:AlternateContent>
    <mc:AlternateContent xmlns:mc="http://schemas.openxmlformats.org/markup-compatibility/2006">
      <mc:Choice Requires="x14">
        <control shapeId="2062" r:id="rId12" name="RowInsert">
          <controlPr defaultSize="0" autoLine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276225</xdr:colOff>
                <xdr:row>1</xdr:row>
                <xdr:rowOff>0</xdr:rowOff>
              </to>
            </anchor>
          </controlPr>
        </control>
      </mc:Choice>
      <mc:Fallback>
        <control shapeId="2062" r:id="rId12" name="RowInser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1FAD5-D26E-4B3F-8D06-FEC53A03DB20}">
  <sheetPr codeName="Sheet2"/>
  <dimension ref="B1:B7"/>
  <sheetViews>
    <sheetView zoomScale="385" zoomScaleNormal="385" workbookViewId="0">
      <selection activeCell="A7" sqref="A7"/>
    </sheetView>
  </sheetViews>
  <sheetFormatPr defaultRowHeight="15" x14ac:dyDescent="0.25"/>
  <cols>
    <col min="1" max="16384" width="9.140625" style="113"/>
  </cols>
  <sheetData>
    <row r="1" spans="2:2" x14ac:dyDescent="0.25">
      <c r="B1" s="114"/>
    </row>
    <row r="2" spans="2:2" x14ac:dyDescent="0.25">
      <c r="B2" s="114"/>
    </row>
    <row r="3" spans="2:2" x14ac:dyDescent="0.25">
      <c r="B3" s="114"/>
    </row>
    <row r="4" spans="2:2" x14ac:dyDescent="0.25">
      <c r="B4" s="114"/>
    </row>
    <row r="5" spans="2:2" x14ac:dyDescent="0.25">
      <c r="B5" s="114"/>
    </row>
    <row r="6" spans="2:2" x14ac:dyDescent="0.25">
      <c r="B6" s="114"/>
    </row>
    <row r="7" spans="2:2" x14ac:dyDescent="0.25">
      <c r="B7" s="11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Time</vt:lpstr>
      <vt:lpstr>Calendar</vt:lpstr>
      <vt:lpstr>Complete</vt:lpstr>
      <vt:lpstr>Archive</vt:lpstr>
      <vt:lpstr>Narratives</vt:lpstr>
      <vt:lpstr>VARS</vt:lpstr>
      <vt:lpstr>Payroll</vt:lpstr>
      <vt:lpstr>Shapes</vt:lpstr>
      <vt:lpstr>Archive!AGENDA</vt:lpstr>
      <vt:lpstr>Complete!AGENDA</vt:lpstr>
      <vt:lpstr>Time!AGENDA</vt:lpstr>
      <vt:lpstr>Calendar!BlueList</vt:lpstr>
      <vt:lpstr>Calendar!GreenList</vt:lpstr>
      <vt:lpstr>Matters</vt:lpstr>
      <vt:lpstr>Narratives</vt:lpstr>
      <vt:lpstr>Archive!Print_Area</vt:lpstr>
      <vt:lpstr>Calendar!RedList</vt:lpstr>
      <vt:lpstr>RedWhiteList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Hillert</dc:creator>
  <cp:lastModifiedBy>John Hillert</cp:lastModifiedBy>
  <dcterms:created xsi:type="dcterms:W3CDTF">2017-11-27T20:00:56Z</dcterms:created>
  <dcterms:modified xsi:type="dcterms:W3CDTF">2019-06-20T07:47:28Z</dcterms:modified>
</cp:coreProperties>
</file>